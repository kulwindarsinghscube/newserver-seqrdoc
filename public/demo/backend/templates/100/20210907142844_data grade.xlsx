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Sheet1!$F$1:$F$2</definedName>
  </definedNames>
  <calcPr calcId="162913"/>
</workbook>
</file>

<file path=xl/calcChain.xml><?xml version="1.0" encoding="utf-8"?>
<calcChain xmlns="http://schemas.openxmlformats.org/spreadsheetml/2006/main">
  <c r="BS2" i="1" l="1"/>
  <c r="BR2" i="1"/>
  <c r="BF2" i="1"/>
  <c r="BE2" i="1"/>
  <c r="AS2" i="1"/>
  <c r="AR2" i="1"/>
  <c r="AF2" i="1"/>
  <c r="AE2" i="1"/>
  <c r="S2" i="1"/>
  <c r="R2" i="1"/>
  <c r="AG2" i="1" l="1"/>
  <c r="BT2" i="1"/>
  <c r="T2" i="1"/>
  <c r="BG2" i="1"/>
  <c r="AT2" i="1"/>
  <c r="GU2" i="1"/>
  <c r="GZ2" i="1"/>
  <c r="GY2" i="1" l="1"/>
  <c r="GX2" i="1"/>
  <c r="GV2" i="1" l="1"/>
</calcChain>
</file>

<file path=xl/sharedStrings.xml><?xml version="1.0" encoding="utf-8"?>
<sst xmlns="http://schemas.openxmlformats.org/spreadsheetml/2006/main" count="181" uniqueCount="166">
  <si>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</si>
  <si>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</si>
  <si>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</si>
  <si>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</si>
  <si>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</si>
  <si>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</si>
  <si>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</si>
  <si>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</si>
  <si>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</si>
  <si>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</si>
  <si>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</si>
  <si>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</si>
  <si>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</si>
  <si>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</si>
  <si>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</si>
  <si>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</si>
  <si>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</si>
  <si>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</si>
  <si>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</si>
  <si>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</si>
  <si>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</si>
  <si>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</si>
  <si>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</si>
  <si>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</si>
  <si>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</si>
  <si>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</si>
  <si>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</si>
  <si>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</si>
  <si>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</si>
  <si>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</si>
  <si>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</si>
  <si>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</si>
  <si>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</si>
  <si>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</si>
  <si>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</si>
  <si>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</si>
  <si>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</si>
  <si>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</si>
  <si>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</si>
  <si>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</si>
  <si>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</si>
  <si>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</si>
  <si>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</si>
  <si>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</si>
  <si>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</si>
  <si>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</si>
  <si>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</si>
  <si>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</si>
  <si>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</si>
  <si>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</si>
  <si>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</si>
  <si>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</si>
  <si>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</si>
  <si>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</si>
  <si>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</si>
  <si>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</si>
  <si>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</si>
  <si>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</si>
  <si>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</si>
  <si>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</si>
  <si>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</si>
  <si>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</si>
  <si>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</si>
  <si>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</si>
  <si>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</si>
  <si>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</si>
  <si>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</si>
  <si>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</si>
  <si>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</si>
  <si>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</si>
  <si>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</si>
  <si>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</si>
  <si>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</si>
  <si>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</si>
  <si>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</si>
  <si>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</si>
  <si>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</si>
  <si>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</si>
  <si>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</si>
  <si>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</si>
  <si>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</si>
  <si>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</si>
  <si>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</si>
  <si>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</si>
  <si>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</si>
  <si>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</si>
  <si>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</si>
  <si>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</si>
  <si>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</si>
  <si>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</si>
  <si>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</si>
  <si>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</si>
  <si>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</si>
  <si>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</si>
  <si>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</si>
  <si>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</si>
  <si>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</si>
  <si>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</si>
  <si>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</si>
  <si>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</si>
  <si>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</si>
  <si>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</si>
  <si>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</si>
  <si>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</si>
  <si>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</si>
  <si>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</si>
  <si>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</si>
  <si>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</si>
  <si>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</si>
  <si>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</si>
  <si>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</si>
  <si>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</si>
  <si>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</si>
  <si>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</si>
  <si>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</si>
  <si>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</si>
  <si>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</si>
  <si>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</si>
  <si>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</si>
  <si>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</si>
  <si>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</si>
  <si>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</si>
  <si>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</si>
  <si>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</si>
  <si>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</si>
  <si>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</si>
  <si>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</si>
  <si>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</si>
  <si>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</si>
  <si>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</si>
  <si>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</si>
  <si>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</si>
  <si>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</si>
  <si>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</si>
  <si>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</si>
  <si>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</si>
  <si>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</si>
  <si>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</si>
  <si>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</si>
  <si>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</si>
  <si>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</si>
  <si>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</si>
  <si>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</si>
  <si>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</si>
  <si>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</si>
  <si>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</si>
  <si>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</si>
  <si>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</si>
  <si>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</si>
  <si>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</si>
  <si>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</si>
  <si>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</si>
  <si>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</si>
  <si>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</si>
  <si>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e</t>
  </si>
  <si>
    <t>2018-2019</t>
  </si>
  <si>
    <t>SEM 1</t>
  </si>
  <si>
    <t>[MCA-114-4] Computer Fundamental and its Applications</t>
  </si>
  <si>
    <t>M.Sc. (CHEMISTRY)</t>
  </si>
  <si>
    <t>[MC-111] Inorganic Chemistry 1</t>
  </si>
  <si>
    <t>[MC-112] Organic Chemistry-I</t>
  </si>
  <si>
    <t>[MC-113] Physical Chemistry-I</t>
  </si>
  <si>
    <t>[PHEY -115] Fundamentals of Renewable Energy Technologies</t>
  </si>
  <si>
    <t>Dec-2018</t>
  </si>
  <si>
    <t>XXXXXX</t>
  </si>
  <si>
    <t>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</si>
</sst>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</cellStyleXfs>
  <cellXfs count="16">
    <xf numFmtId="0" fontId="0" fillId="0" borderId="0" xfId="0"/>
    <xf numFmtId="2" fontId="0" fillId="0" borderId="0" xfId="0" applyNumberFormat="1" applyFill="1"/>
    <xf numFmtId="1" fontId="0" fillId="0" borderId="0" xfId="0" applyNumberFormat="1" applyFill="1" applyAlignment="1">
      <alignment horizontal="left"/>
    </xf>
    <xf numFmtId="2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/>
    <xf numFmtId="49" fontId="0" fillId="0" borderId="0" xfId="0" applyNumberFormat="1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/>
    <xf numFmtId="1" fontId="0" fillId="0" borderId="0" xfId="0" applyNumberForma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2 2 2" xfId="46"/>
    <cellStyle name="Normal 2 3" xfId="47"/>
    <cellStyle name="Normal 2 3 2" xfId="48"/>
    <cellStyle name="Normal 5" xfId="49"/>
    <cellStyle name="Note" xfId="15" builtinId="10" customBuiltin="1"/>
    <cellStyle name="Output" xfId="10" builtinId="21" customBuiltin="1"/>
    <cellStyle name="Title" xfId="1" builtinId="15" customBuiltin="1"/>
    <cellStyle name="Title 2" xfId="44"/>
    <cellStyle name="Title 3" xfId="45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2"/>
  <sheetViews>
    <sheetView tabSelected="1" topLeftCell="ER1" zoomScaleNormal="100" workbookViewId="0">
      <selection activeCell="EX3" sqref="EX3"/>
    </sheetView>
  </sheetViews>
  <sheetFormatPr defaultRowHeight="15" x14ac:dyDescent="0.25"/>
  <cols>
    <col min="1" max="1" width="8.5703125" style="6" bestFit="1" customWidth="1"/>
    <col min="2" max="2" width="13.5703125" style="8" bestFit="1" customWidth="1"/>
    <col min="3" max="3" width="7.85546875" style="8" bestFit="1" customWidth="1"/>
    <col min="4" max="4" width="15.42578125" style="8" bestFit="1" customWidth="1"/>
    <col min="5" max="5" width="12" style="8" bestFit="1" customWidth="1"/>
    <col min="6" max="6" width="17.7109375" style="8" bestFit="1" customWidth="1"/>
    <col min="7" max="7" width="8.7109375" style="8" bestFit="1" customWidth="1"/>
    <col min="8" max="8" width="9.7109375" style="8" bestFit="1" customWidth="1"/>
    <col min="9" max="9" width="29" style="8" bestFit="1" customWidth="1"/>
    <col min="10" max="10" width="14.140625" style="8" bestFit="1" customWidth="1"/>
    <col min="11" max="11" width="13.5703125" style="8" bestFit="1" customWidth="1"/>
    <col min="12" max="12" width="15.42578125" style="8" bestFit="1" customWidth="1"/>
    <col min="13" max="13" width="14.85546875" style="8" bestFit="1" customWidth="1"/>
    <col min="14" max="14" width="14.42578125" style="8" bestFit="1" customWidth="1"/>
    <col min="15" max="15" width="13.85546875" style="8" bestFit="1" customWidth="1"/>
    <col min="16" max="16" width="15.7109375" style="8" bestFit="1" customWidth="1"/>
    <col min="17" max="17" width="15.140625" style="8" bestFit="1" customWidth="1"/>
    <col min="18" max="18" width="10.7109375" style="2" bestFit="1" customWidth="1"/>
    <col min="19" max="19" width="10.140625" style="2" bestFit="1" customWidth="1"/>
    <col min="20" max="20" width="8.7109375" style="5" bestFit="1" customWidth="1"/>
    <col min="21" max="21" width="7" style="8" bestFit="1" customWidth="1"/>
    <col min="22" max="22" width="27.42578125" style="8" bestFit="1" customWidth="1"/>
    <col min="23" max="23" width="14.140625" style="8" bestFit="1" customWidth="1"/>
    <col min="24" max="24" width="13.5703125" style="8" bestFit="1" customWidth="1"/>
    <col min="25" max="25" width="15.42578125" style="8" bestFit="1" customWidth="1"/>
    <col min="26" max="26" width="14.85546875" style="8" bestFit="1" customWidth="1"/>
    <col min="27" max="27" width="14.42578125" style="8" bestFit="1" customWidth="1"/>
    <col min="28" max="28" width="13.85546875" style="8" bestFit="1" customWidth="1"/>
    <col min="29" max="29" width="15.7109375" style="8" bestFit="1" customWidth="1"/>
    <col min="30" max="30" width="15.140625" style="8" bestFit="1" customWidth="1"/>
    <col min="31" max="31" width="10.7109375" style="2" bestFit="1" customWidth="1"/>
    <col min="32" max="32" width="10.140625" style="2" bestFit="1" customWidth="1"/>
    <col min="33" max="33" width="8.7109375" style="5" bestFit="1" customWidth="1"/>
    <col min="34" max="34" width="7" style="8" bestFit="1" customWidth="1"/>
    <col min="35" max="35" width="27.85546875" style="8" bestFit="1" customWidth="1"/>
    <col min="36" max="36" width="14.140625" style="8" bestFit="1" customWidth="1"/>
    <col min="37" max="37" width="13.5703125" style="8" bestFit="1" customWidth="1"/>
    <col min="38" max="38" width="15.42578125" style="8" bestFit="1" customWidth="1"/>
    <col min="39" max="39" width="14.85546875" style="8" bestFit="1" customWidth="1"/>
    <col min="40" max="40" width="14.42578125" style="8" bestFit="1" customWidth="1"/>
    <col min="41" max="41" width="13.85546875" style="8" bestFit="1" customWidth="1"/>
    <col min="42" max="42" width="15.7109375" style="8" bestFit="1" customWidth="1"/>
    <col min="43" max="43" width="15.140625" style="8" bestFit="1" customWidth="1"/>
    <col min="44" max="44" width="10.7109375" style="2" bestFit="1" customWidth="1"/>
    <col min="45" max="45" width="10.140625" style="2" bestFit="1" customWidth="1"/>
    <col min="46" max="46" width="8.7109375" style="5" bestFit="1" customWidth="1"/>
    <col min="47" max="47" width="7" style="8" bestFit="1" customWidth="1"/>
    <col min="48" max="48" width="56.85546875" style="8" bestFit="1" customWidth="1"/>
    <col min="49" max="49" width="14.140625" style="8" bestFit="1" customWidth="1"/>
    <col min="50" max="50" width="13.5703125" style="8" bestFit="1" customWidth="1"/>
    <col min="51" max="51" width="15.42578125" style="8" bestFit="1" customWidth="1"/>
    <col min="52" max="52" width="14.85546875" style="8" bestFit="1" customWidth="1"/>
    <col min="53" max="53" width="14.42578125" style="8" bestFit="1" customWidth="1"/>
    <col min="54" max="54" width="13.85546875" style="8" bestFit="1" customWidth="1"/>
    <col min="55" max="55" width="15.7109375" style="8" bestFit="1" customWidth="1"/>
    <col min="56" max="56" width="15.140625" style="8" bestFit="1" customWidth="1"/>
    <col min="57" max="57" width="10.7109375" style="2" bestFit="1" customWidth="1"/>
    <col min="58" max="58" width="10.140625" style="2" bestFit="1" customWidth="1"/>
    <col min="59" max="59" width="8.7109375" style="5" bestFit="1" customWidth="1"/>
    <col min="60" max="60" width="7" style="8" bestFit="1" customWidth="1"/>
    <col min="61" max="61" width="52.5703125" style="8" bestFit="1" customWidth="1"/>
    <col min="62" max="62" width="14.140625" style="8" bestFit="1" customWidth="1"/>
    <col min="63" max="63" width="13.5703125" style="8" bestFit="1" customWidth="1"/>
    <col min="64" max="64" width="15.42578125" style="8" bestFit="1" customWidth="1"/>
    <col min="65" max="65" width="14.85546875" style="8" bestFit="1" customWidth="1"/>
    <col min="66" max="66" width="14.42578125" style="8" bestFit="1" customWidth="1"/>
    <col min="67" max="67" width="13.85546875" style="8" bestFit="1" customWidth="1"/>
    <col min="68" max="68" width="15.7109375" style="8" bestFit="1" customWidth="1"/>
    <col min="69" max="69" width="15.140625" style="8" bestFit="1" customWidth="1"/>
    <col min="70" max="70" width="10.7109375" style="2" bestFit="1" customWidth="1"/>
    <col min="71" max="71" width="10.140625" style="2" bestFit="1" customWidth="1"/>
    <col min="72" max="72" width="8.7109375" style="5" bestFit="1" customWidth="1"/>
    <col min="73" max="73" width="7" style="8" bestFit="1" customWidth="1"/>
    <col min="74" max="74" width="8.5703125" style="8" bestFit="1" customWidth="1"/>
    <col min="75" max="75" width="14.140625" style="8" bestFit="1" customWidth="1"/>
    <col min="76" max="76" width="13.5703125" style="8" bestFit="1" customWidth="1"/>
    <col min="77" max="77" width="15.42578125" style="8" bestFit="1" customWidth="1"/>
    <col min="78" max="78" width="14.85546875" style="8" bestFit="1" customWidth="1"/>
    <col min="79" max="79" width="14.42578125" style="8" bestFit="1" customWidth="1"/>
    <col min="80" max="80" width="13.85546875" style="8" bestFit="1" customWidth="1"/>
    <col min="81" max="81" width="15.7109375" style="8" bestFit="1" customWidth="1"/>
    <col min="82" max="82" width="15.140625" style="8" bestFit="1" customWidth="1"/>
    <col min="83" max="83" width="10.7109375" style="8" bestFit="1" customWidth="1"/>
    <col min="84" max="84" width="10.140625" style="8" bestFit="1" customWidth="1"/>
    <col min="85" max="85" width="8.7109375" style="8" bestFit="1" customWidth="1"/>
    <col min="86" max="86" width="7" style="8" bestFit="1" customWidth="1"/>
    <col min="87" max="87" width="8.5703125" style="8" bestFit="1" customWidth="1"/>
    <col min="88" max="88" width="14.140625" style="8" bestFit="1" customWidth="1"/>
    <col min="89" max="89" width="13.5703125" style="8" bestFit="1" customWidth="1"/>
    <col min="90" max="90" width="15.42578125" style="8" bestFit="1" customWidth="1"/>
    <col min="91" max="91" width="14.85546875" style="8" bestFit="1" customWidth="1"/>
    <col min="92" max="92" width="14.42578125" style="8" bestFit="1" customWidth="1"/>
    <col min="93" max="93" width="13.85546875" style="8" bestFit="1" customWidth="1"/>
    <col min="94" max="94" width="15.7109375" style="8" bestFit="1" customWidth="1"/>
    <col min="95" max="95" width="15.140625" style="8" bestFit="1" customWidth="1"/>
    <col min="96" max="96" width="10.7109375" style="8" bestFit="1" customWidth="1"/>
    <col min="97" max="97" width="10.140625" style="8" bestFit="1" customWidth="1"/>
    <col min="98" max="98" width="8.7109375" style="8" bestFit="1" customWidth="1"/>
    <col min="99" max="99" width="7" style="8" bestFit="1" customWidth="1"/>
    <col min="100" max="100" width="8.5703125" style="8" bestFit="1" customWidth="1"/>
    <col min="101" max="101" width="14.140625" style="8" bestFit="1" customWidth="1"/>
    <col min="102" max="102" width="13.5703125" style="8" bestFit="1" customWidth="1"/>
    <col min="103" max="103" width="15.42578125" style="8" bestFit="1" customWidth="1"/>
    <col min="104" max="104" width="14.85546875" style="8" bestFit="1" customWidth="1"/>
    <col min="105" max="105" width="14.42578125" style="8" bestFit="1" customWidth="1"/>
    <col min="106" max="106" width="13.85546875" style="8" bestFit="1" customWidth="1"/>
    <col min="107" max="107" width="15.7109375" style="8" bestFit="1" customWidth="1"/>
    <col min="108" max="108" width="15.140625" style="8" bestFit="1" customWidth="1"/>
    <col min="109" max="109" width="10.7109375" style="8" bestFit="1" customWidth="1"/>
    <col min="110" max="110" width="10.140625" style="8" bestFit="1" customWidth="1"/>
    <col min="111" max="111" width="8.7109375" style="8" bestFit="1" customWidth="1"/>
    <col min="112" max="112" width="7" style="8" bestFit="1" customWidth="1"/>
    <col min="113" max="113" width="8.5703125" style="8" bestFit="1" customWidth="1"/>
    <col min="114" max="114" width="14.140625" style="8" bestFit="1" customWidth="1"/>
    <col min="115" max="115" width="13.5703125" style="8" bestFit="1" customWidth="1"/>
    <col min="116" max="116" width="15.42578125" style="8" bestFit="1" customWidth="1"/>
    <col min="117" max="117" width="14.85546875" style="8" bestFit="1" customWidth="1"/>
    <col min="118" max="118" width="14.42578125" style="8" bestFit="1" customWidth="1"/>
    <col min="119" max="119" width="13.85546875" style="8" bestFit="1" customWidth="1"/>
    <col min="120" max="120" width="15.7109375" style="8" bestFit="1" customWidth="1"/>
    <col min="121" max="121" width="15.140625" style="8" bestFit="1" customWidth="1"/>
    <col min="122" max="122" width="10.7109375" style="8" bestFit="1" customWidth="1"/>
    <col min="123" max="123" width="10.140625" style="8" bestFit="1" customWidth="1"/>
    <col min="124" max="124" width="8.7109375" style="8" bestFit="1" customWidth="1"/>
    <col min="125" max="125" width="7" style="8" bestFit="1" customWidth="1"/>
    <col min="126" max="126" width="9.5703125" style="8" bestFit="1" customWidth="1"/>
    <col min="127" max="127" width="15.140625" style="8" bestFit="1" customWidth="1"/>
    <col min="128" max="128" width="14.5703125" style="8" bestFit="1" customWidth="1"/>
    <col min="129" max="129" width="16.42578125" style="8" bestFit="1" customWidth="1"/>
    <col min="130" max="130" width="15.85546875" style="8" bestFit="1" customWidth="1"/>
    <col min="131" max="131" width="15.42578125" style="8" bestFit="1" customWidth="1"/>
    <col min="132" max="132" width="14.85546875" style="8" bestFit="1" customWidth="1"/>
    <col min="133" max="133" width="16.7109375" style="8" bestFit="1" customWidth="1"/>
    <col min="134" max="134" width="16.140625" style="8" bestFit="1" customWidth="1"/>
    <col min="135" max="135" width="11.7109375" style="8" bestFit="1" customWidth="1"/>
    <col min="136" max="136" width="11.140625" style="8" bestFit="1" customWidth="1"/>
    <col min="137" max="137" width="9.7109375" style="8" bestFit="1" customWidth="1"/>
    <col min="138" max="138" width="8" style="8" bestFit="1" customWidth="1"/>
    <col min="139" max="139" width="9.5703125" style="8" bestFit="1" customWidth="1"/>
    <col min="140" max="140" width="15.140625" style="8" bestFit="1" customWidth="1"/>
    <col min="141" max="141" width="14.5703125" style="8" bestFit="1" customWidth="1"/>
    <col min="142" max="142" width="16.42578125" style="8" bestFit="1" customWidth="1"/>
    <col min="143" max="143" width="15.85546875" style="8" bestFit="1" customWidth="1"/>
    <col min="144" max="144" width="15.42578125" style="8" bestFit="1" customWidth="1"/>
    <col min="145" max="145" width="14.85546875" style="8" bestFit="1" customWidth="1"/>
    <col min="146" max="146" width="16.7109375" style="8" bestFit="1" customWidth="1"/>
    <col min="147" max="147" width="16.140625" style="8" bestFit="1" customWidth="1"/>
    <col min="148" max="148" width="11.7109375" style="8" bestFit="1" customWidth="1"/>
    <col min="149" max="149" width="11.140625" style="8" bestFit="1" customWidth="1"/>
    <col min="150" max="150" width="9.7109375" style="8" bestFit="1" customWidth="1"/>
    <col min="151" max="151" width="8" style="8" bestFit="1" customWidth="1"/>
    <col min="152" max="152" width="10" style="8" bestFit="1" customWidth="1"/>
    <col min="153" max="153" width="13.85546875" style="8" bestFit="1" customWidth="1"/>
    <col min="154" max="154" width="6.5703125" style="3" bestFit="1" customWidth="1"/>
    <col min="155" max="155" width="9" style="4" bestFit="1" customWidth="1"/>
    <col min="156" max="156" width="2" style="8" bestFit="1" customWidth="1"/>
    <col min="157" max="158" width="3" style="8" bestFit="1" customWidth="1"/>
    <col min="159" max="160" width="4" style="8" bestFit="1" customWidth="1"/>
    <col min="161" max="161" width="2" style="8" bestFit="1" customWidth="1"/>
    <col min="162" max="162" width="5" style="8" bestFit="1" customWidth="1"/>
    <col min="163" max="165" width="4" style="8" bestFit="1" customWidth="1"/>
    <col min="166" max="166" width="5" style="8" bestFit="1" customWidth="1"/>
    <col min="167" max="168" width="4" style="8" bestFit="1" customWidth="1"/>
    <col min="169" max="169" width="12" style="8" bestFit="1" customWidth="1"/>
    <col min="170" max="170" width="5" style="8" bestFit="1" customWidth="1"/>
    <col min="171" max="186" width="3.7109375" style="8" bestFit="1" customWidth="1"/>
    <col min="187" max="188" width="5" style="8" bestFit="1" customWidth="1"/>
    <col min="189" max="189" width="4" style="8" bestFit="1" customWidth="1"/>
    <col min="190" max="190" width="12.42578125" style="8" bestFit="1" customWidth="1"/>
    <col min="191" max="191" width="8.85546875" style="8" bestFit="1" customWidth="1"/>
    <col min="192" max="192" width="9.85546875" style="8" bestFit="1" customWidth="1"/>
    <col min="193" max="193" width="9.42578125" style="8" bestFit="1" customWidth="1"/>
    <col min="194" max="194" width="10.42578125" style="8" bestFit="1" customWidth="1"/>
    <col min="195" max="195" width="9.42578125" style="8" bestFit="1" customWidth="1"/>
    <col min="196" max="196" width="10.42578125" style="8" bestFit="1" customWidth="1"/>
    <col min="197" max="197" width="9.85546875" style="8" bestFit="1" customWidth="1"/>
    <col min="198" max="198" width="10.85546875" style="8" bestFit="1" customWidth="1"/>
    <col min="199" max="201" width="1.42578125" style="8" bestFit="1" customWidth="1"/>
    <col min="202" max="202" width="11" style="8" bestFit="1" customWidth="1"/>
    <col min="203" max="203" width="4" style="7" bestFit="1" customWidth="1"/>
    <col min="204" max="205" width="2" style="7" bestFit="1" customWidth="1"/>
    <col min="206" max="206" width="4" style="7" bestFit="1" customWidth="1"/>
    <col min="207" max="207" width="4.5703125" style="1" bestFit="1" customWidth="1"/>
    <col min="208" max="208" width="3" style="7" bestFit="1" customWidth="1"/>
    <col min="209" max="209" width="3" style="8" bestFit="1" customWidth="1"/>
    <col min="210" max="211" width="18.28515625" style="8" bestFit="1" customWidth="1"/>
    <col min="212" max="16384" width="9.140625" style="8"/>
  </cols>
  <sheetData>
    <row r="1" spans="1:208" x14ac:dyDescent="0.25">
      <c r="A1" s="6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2" t="s">
        <v>17</v>
      </c>
      <c r="S1" s="2" t="s">
        <v>18</v>
      </c>
      <c r="T1" s="5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2" t="s">
        <v>30</v>
      </c>
      <c r="AF1" s="2" t="s">
        <v>31</v>
      </c>
      <c r="AG1" s="5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2" t="s">
        <v>44</v>
      </c>
      <c r="AT1" s="5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2" t="s">
        <v>56</v>
      </c>
      <c r="BF1" s="2" t="s">
        <v>57</v>
      </c>
      <c r="BG1" s="5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2" t="s">
        <v>69</v>
      </c>
      <c r="BS1" s="2" t="s">
        <v>70</v>
      </c>
      <c r="BT1" s="5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3" t="s">
        <v>153</v>
      </c>
      <c r="EY1" s="4" t="s">
        <v>154</v>
      </c>
    </row>
    <row r="2" spans="1:208" s="14" customFormat="1" x14ac:dyDescent="0.25">
      <c r="A2" s="14" t="s">
        <v>164</v>
      </c>
      <c r="B2" s="14" t="s">
        <v>164</v>
      </c>
      <c r="C2" s="14" t="s">
        <v>164</v>
      </c>
      <c r="D2" s="14" t="s">
        <v>164</v>
      </c>
      <c r="E2" s="14" t="s">
        <v>164</v>
      </c>
      <c r="F2" s="14" t="s">
        <v>158</v>
      </c>
      <c r="G2" s="14" t="s">
        <v>156</v>
      </c>
      <c r="H2" s="15" t="s">
        <v>155</v>
      </c>
      <c r="I2" s="14" t="s">
        <v>159</v>
      </c>
      <c r="J2" s="14">
        <v>30</v>
      </c>
      <c r="K2" s="14">
        <v>23</v>
      </c>
      <c r="L2" s="14" t="s">
        <v>165</v>
      </c>
      <c r="M2" s="14" t="s">
        <v>165</v>
      </c>
      <c r="N2" s="14">
        <v>70</v>
      </c>
      <c r="O2" s="14">
        <v>37</v>
      </c>
      <c r="P2" s="14">
        <v>50</v>
      </c>
      <c r="Q2" s="14">
        <v>29</v>
      </c>
      <c r="R2" s="12">
        <f t="shared" ref="R2" si="0">SUM(J2,L2,N2,P2)</f>
        <v>150</v>
      </c>
      <c r="S2" s="12">
        <f t="shared" ref="S2" si="1">SUM(K2,M2,O2,Q2)</f>
        <v>89</v>
      </c>
      <c r="T2" s="13" t="str">
        <f t="shared" ref="T2" si="2">IF(S2*100/R2&lt;40,"F",IF(S2*100/R2&lt;=50,"P",IF(S2*100/R2&lt;=55,"C",IF(S2*100/R2&lt;=60,"B",IF(S2*100/R2&lt;=70,"B+",IF(S2*100/R2&lt;=80,"A",IF(S2*100/R2&lt;=90,"A+",IF(S2*100/R2&lt;=100,"O",""))))))))</f>
        <v>B</v>
      </c>
      <c r="U2" s="14">
        <v>4</v>
      </c>
      <c r="V2" s="14" t="s">
        <v>160</v>
      </c>
      <c r="W2" s="14">
        <v>30</v>
      </c>
      <c r="X2" s="14">
        <v>24</v>
      </c>
      <c r="Y2" s="14" t="s">
        <v>165</v>
      </c>
      <c r="Z2" s="14" t="s">
        <v>165</v>
      </c>
      <c r="AA2" s="14">
        <v>70</v>
      </c>
      <c r="AB2" s="14">
        <v>52</v>
      </c>
      <c r="AC2" s="14">
        <v>50</v>
      </c>
      <c r="AD2" s="14">
        <v>26</v>
      </c>
      <c r="AE2" s="12">
        <f t="shared" ref="AE2" si="3">SUM(W2,Y2,AA2,AC2)</f>
        <v>150</v>
      </c>
      <c r="AF2" s="12">
        <f t="shared" ref="AF2" si="4">SUM(X2,Z2,AB2,AD2)</f>
        <v>102</v>
      </c>
      <c r="AG2" s="13" t="str">
        <f t="shared" ref="AG2" si="5">IF(AF2*100/AE2&lt;40,"F",IF(AF2*100/AE2&lt;=50,"P",IF(AF2*100/AE2&lt;=55,"C",IF(AF2*100/AE2&lt;=60,"B",IF(AF2*100/AE2&lt;=70,"B+",IF(AF2*100/AE2&lt;=80,"A",IF(AF2*100/AE2&lt;=90,"A+",IF(AF2*100/AE2&lt;=100,"O",""))))))))</f>
        <v>B+</v>
      </c>
      <c r="AH2" s="14">
        <v>4</v>
      </c>
      <c r="AI2" s="14" t="s">
        <v>161</v>
      </c>
      <c r="AJ2" s="14">
        <v>30</v>
      </c>
      <c r="AK2" s="14">
        <v>24</v>
      </c>
      <c r="AL2" s="14" t="s">
        <v>165</v>
      </c>
      <c r="AM2" s="14" t="s">
        <v>165</v>
      </c>
      <c r="AN2" s="14">
        <v>70</v>
      </c>
      <c r="AO2" s="14">
        <v>29</v>
      </c>
      <c r="AP2" s="14">
        <v>50</v>
      </c>
      <c r="AQ2" s="14">
        <v>27</v>
      </c>
      <c r="AR2" s="12">
        <f t="shared" ref="AR2" si="6">SUM(AJ2,AL2,AN2,AP2)</f>
        <v>150</v>
      </c>
      <c r="AS2" s="12">
        <f t="shared" ref="AS2" si="7">SUM(AK2,AM2,AO2,AQ2)</f>
        <v>80</v>
      </c>
      <c r="AT2" s="13" t="str">
        <f t="shared" ref="AT2" si="8">IF(AS2*100/AR2&lt;40,"F",IF(AS2*100/AR2&lt;=50,"P",IF(AS2*100/AR2&lt;=55,"C",IF(AS2*100/AR2&lt;=60,"B",IF(AS2*100/AR2&lt;=70,"B+",IF(AS2*100/AR2&lt;=80,"A",IF(AS2*100/AR2&lt;=90,"A+",IF(AS2*100/AR2&lt;=100,"O",""))))))))</f>
        <v>C</v>
      </c>
      <c r="AU2" s="14">
        <v>4</v>
      </c>
      <c r="AV2" s="14" t="s">
        <v>162</v>
      </c>
      <c r="AW2" s="14">
        <v>30</v>
      </c>
      <c r="AX2" s="14">
        <v>25</v>
      </c>
      <c r="AY2" s="14" t="s">
        <v>165</v>
      </c>
      <c r="AZ2" s="14" t="s">
        <v>165</v>
      </c>
      <c r="BA2" s="14">
        <v>70</v>
      </c>
      <c r="BB2" s="14">
        <v>36</v>
      </c>
      <c r="BC2" s="14" t="s">
        <v>165</v>
      </c>
      <c r="BD2" s="14" t="s">
        <v>165</v>
      </c>
      <c r="BE2" s="12">
        <f t="shared" ref="BE2" si="9">SUM(AW2,AY2,BA2,BC2)</f>
        <v>100</v>
      </c>
      <c r="BF2" s="12">
        <f t="shared" ref="BF2" si="10">SUM(AX2,AZ2,BB2,BD2)</f>
        <v>61</v>
      </c>
      <c r="BG2" s="13" t="str">
        <f t="shared" ref="BG2" si="11">IF(BF2*100/BE2&lt;40,"F",IF(BF2*100/BE2&lt;=50,"P",IF(BF2*100/BE2&lt;=55,"C",IF(BF2*100/BE2&lt;=60,"B",IF(BF2*100/BE2&lt;=70,"B+",IF(BF2*100/BE2&lt;=80,"A",IF(BF2*100/BE2&lt;=90,"A+",IF(BF2*100/BE2&lt;=100,"O",""))))))))</f>
        <v>B+</v>
      </c>
      <c r="BH2" s="14">
        <v>4</v>
      </c>
      <c r="BI2" s="14" t="s">
        <v>157</v>
      </c>
      <c r="BJ2" s="14">
        <v>30</v>
      </c>
      <c r="BK2" s="14">
        <v>24</v>
      </c>
      <c r="BL2" s="14" t="s">
        <v>165</v>
      </c>
      <c r="BM2" s="14" t="s">
        <v>165</v>
      </c>
      <c r="BN2" s="14">
        <v>70</v>
      </c>
      <c r="BO2" s="14">
        <v>50</v>
      </c>
      <c r="BP2" s="14">
        <v>50</v>
      </c>
      <c r="BQ2" s="14">
        <v>40</v>
      </c>
      <c r="BR2" s="12">
        <f t="shared" ref="BR2" si="12">SUM(BJ2,BL2,BN2,BP2)</f>
        <v>150</v>
      </c>
      <c r="BS2" s="12">
        <f t="shared" ref="BS2" si="13">SUM(BK2,BM2,BO2,BQ2)</f>
        <v>114</v>
      </c>
      <c r="BT2" s="13" t="str">
        <f t="shared" ref="BT2" si="14">IF(BS2*100/BR2&lt;40,"F",IF(BS2*100/BR2&lt;=50,"P",IF(BS2*100/BR2&lt;=55,"C",IF(BS2*100/BR2&lt;=60,"B",IF(BS2*100/BR2&lt;=70,"B+",IF(BS2*100/BR2&lt;=80,"A",IF(BS2*100/BR2&lt;=90,"A+",IF(BS2*100/BR2&lt;=100,"O",""))))))))</f>
        <v>A</v>
      </c>
      <c r="BU2" s="14">
        <v>4</v>
      </c>
      <c r="EV2" s="10">
        <v>700</v>
      </c>
      <c r="EW2" s="10">
        <v>446</v>
      </c>
      <c r="EX2" s="11">
        <v>6.6</v>
      </c>
      <c r="EY2" s="9" t="s">
        <v>163</v>
      </c>
      <c r="GU2" s="10">
        <f t="shared" ref="GU2" si="15">SUM(FQ2,FD2,ER2,EE2,DR2,DE2,CR2,CE2,BR2,BE2,AR2,AE2,R2,GD2,GQ2)</f>
        <v>700</v>
      </c>
      <c r="GV2" s="10">
        <f t="shared" ref="GV2" si="16">COUNTIF(I2:GT2,"F")</f>
        <v>0</v>
      </c>
      <c r="GW2" s="10"/>
      <c r="GX2" s="10">
        <f t="shared" ref="GX2" si="17">SUM(FR2,FE2,ES2,EF2,DS2,DF2,CS2,CF2,BS2,BF2,AS2,AF2,S2,GE2,GR2)</f>
        <v>446</v>
      </c>
      <c r="GY2" s="11">
        <f t="shared" ref="GY2" si="18">(U2*IF(T2="O",10,IF(T2="A+",9,IF(T2="A",8,IF(T2="B+",7,IF(T2="B",6,IF(T2="C",5,IF(T2="P",4,0)))))))+AH2*IF(AG2="O",10,IF(AG2="A+",9,IF(AG2="A",8,IF(AG2="B+",7,IF(AG2="B",6,IF(AG2="C",5,IF(AG2="P",4,0)))))))+AU2*IF(AT2="O",10,IF(AT2="A+",9,IF(AT2="A",8,IF(AT2="B+",7,IF(AT2="B",6,IF(AT2="C",5,IF(AT2="P",4,0)))))))+BH2*IF(BG2="O",10,IF(BG2="A+",9,IF(BG2="A",8,IF(BG2="B+",7,IF(BG2="B",6,IF(BG2="C",5,IF(BG2="P",4,0)))))))+BU2*IF(BT2="O",10,IF(BT2="A+",9,IF(BT2="A",8,IF(BT2="B+",7,IF(BT2="B",6,IF(BT2="C",5,IF(BT2="P",4,0)))))))+CH2*IF(CG2="O",10,IF(CG2="A+",9,IF(CG2="A",8,IF(CG2="B+",7,IF(CG2="B",6,IF(CG2="C",5,IF(CG2="P",4,0)))))))+CU2*IF(CT2="O",10,IF(CT2="A+",9,IF(CT2="A",8,IF(CT2="B+",7,IF(CT2="B",6,IF(CT2="C",5,IF(CT2="P",4,0)))))))+DH2*IF(DG2="O",10,IF(DG2="A+",9,IF(DG2="A",8,IF(DG2="B+",7,IF(DG2="B",6,IF(DG2="C",5,IF(DG2="P",4,0)))))))+DU2*IF(DT2="O",10,IF(DT2="A+",9,IF(DT2="A",8,IF(DT2="B+",7,IF(DT2="B",6,IF(DT2="C",5,IF(DT2="P",4,0)))))))+EH2*IF(EG2="O",10,IF(EG2="A+",9,IF(EG2="A",8,IF(EG2="B+",7,IF(EG2="B",6,IF(EG2="C",5,IF(EG2="P",4,0)))))))+EU2*IF(ET2="O",10,IF(ET2="A+",9,IF(ET2="A",8,IF(ET2="B+",7,IF(ET2="B",6,IF(ET2="C",5,IF(ET2="P",4,0))))))))/GZ2</f>
        <v>6.6</v>
      </c>
      <c r="GZ2" s="10">
        <f t="shared" ref="GZ2" si="19">SUM(U2,AH2,AU2,BH2,BU2,CH2,CU2,DH2,DU2,EH2,EU2,FG2,FT2,GG2,GT2)</f>
        <v>20</v>
      </c>
    </row>
  </sheetData>
  <autoFilter ref="F1:F2"/>
  <sortState ref="H6:JB9">
    <sortCondition ref="N6:N9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2021-09-06T05:12:01Z</dcterms:modified>
</cp:coreProperties>
</file>