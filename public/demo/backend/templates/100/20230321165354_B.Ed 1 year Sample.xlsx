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monad\sample_excel\"/>
    </mc:Choice>
  </mc:AlternateContent>
  <xr:revisionPtr revIDLastSave="0" documentId="13_ncr:1_{4F067667-1722-4DF3-AF2F-7EE46A47D45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sheeet" sheetId="1" r:id="rId1"/>
  </sheets>
  <definedNames>
    <definedName name="_xlnm._FilterDatabase" localSheetId="0" hidden="1">sheeet!$F$1:$G$1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N2" i="1" l="1"/>
  <c r="EM2" i="1"/>
  <c r="EL2" i="1"/>
</calcChain>
</file>

<file path=xl/sharedStrings.xml><?xml version="1.0" encoding="utf-8"?>
<sst xmlns="http://schemas.openxmlformats.org/spreadsheetml/2006/main" count="209" uniqueCount="169">
  <si>
    <t>PASS</t>
  </si>
  <si>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</si>
  <si>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</si>
  <si>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</si>
  <si>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</si>
  <si>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</si>
  <si>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</si>
  <si>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</si>
  <si>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</si>
  <si>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</si>
  <si>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</si>
  <si>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</si>
  <si>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</si>
  <si>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</si>
  <si>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</si>
  <si>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</si>
  <si>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</si>
  <si>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</si>
  <si>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</si>
  <si>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</si>
  <si>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</si>
  <si>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</si>
  <si>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</si>
  <si>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</si>
  <si>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</si>
  <si>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</si>
  <si>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</si>
  <si>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</si>
  <si>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</si>
  <si>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</si>
  <si>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</si>
  <si>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</si>
  <si>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</si>
  <si>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</si>
  <si>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</si>
  <si>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</si>
  <si>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</si>
  <si>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</si>
  <si>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</si>
  <si>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</si>
  <si>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</si>
  <si>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</si>
  <si>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</si>
  <si>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</si>
  <si>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</si>
  <si>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</si>
  <si>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</si>
  <si>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</si>
  <si>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</si>
  <si>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</si>
  <si>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</si>
  <si>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</si>
  <si>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</si>
  <si>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</si>
  <si>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</si>
  <si>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</si>
  <si>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</si>
  <si>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</si>
  <si>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</si>
  <si>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</si>
  <si>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</si>
  <si>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</si>
  <si>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</si>
  <si>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</si>
  <si>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</si>
  <si>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</si>
  <si>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</si>
  <si>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</si>
  <si>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</si>
  <si>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</si>
  <si>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</si>
  <si>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</si>
  <si>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</si>
  <si>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</si>
  <si>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</si>
  <si>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</si>
  <si>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</si>
  <si>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</si>
  <si>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</si>
  <si>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</si>
  <si>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</si>
  <si>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</si>
  <si>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</si>
  <si>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</si>
  <si>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</si>
  <si>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</si>
  <si>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</si>
  <si>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</si>
  <si>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</si>
  <si>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</si>
  <si>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</si>
  <si>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</si>
  <si>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</si>
  <si>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</si>
  <si>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</si>
  <si>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</si>
  <si>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</si>
  <si>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</si>
  <si>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</si>
  <si>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</si>
  <si>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</si>
  <si>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</si>
  <si>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</si>
  <si>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</si>
  <si>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</si>
  <si>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</si>
  <si>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</si>
  <si>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</si>
  <si>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</si>
  <si>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</si>
  <si>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</si>
  <si>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</si>
  <si>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</si>
  <si>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</si>
  <si>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</si>
  <si>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</si>
  <si>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</si>
  <si>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</si>
  <si>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</si>
  <si>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totalMarksObt</t>
  </si>
  <si>
    <t>MaxMarks</t>
  </si>
  <si>
    <t>Result</t>
  </si>
  <si>
    <t>Remark1</t>
  </si>
  <si>
    <t>Remark2</t>
  </si>
  <si>
    <t>Remark3</t>
  </si>
  <si>
    <t>Remark4</t>
  </si>
  <si>
    <t>Remark5</t>
  </si>
  <si>
    <t>Remark6</t>
  </si>
  <si>
    <t>Remark7</t>
  </si>
  <si>
    <t>Remark8</t>
  </si>
  <si>
    <t>Remark9</t>
  </si>
  <si>
    <t>Remark10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</si>
  <si>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</si>
  <si>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</si>
  <si>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</si>
  <si>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</si>
  <si>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</si>
  <si>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</si>
  <si>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</si>
  <si>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</si>
  <si>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</si>
  <si>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</si>
  <si>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</si>
  <si>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</si>
  <si>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__</t>
  </si>
  <si>
    <t>YEAR 1</t>
  </si>
  <si>
    <t>ob. In thry</t>
  </si>
  <si>
    <t>ob. In Prac.</t>
  </si>
  <si>
    <t>M in thry</t>
  </si>
  <si>
    <t>m in prac.</t>
  </si>
  <si>
    <t>B.Ed.</t>
  </si>
  <si>
    <t>Photo</t>
  </si>
  <si>
    <t>NITEESH KUMAR</t>
  </si>
  <si>
    <t>BHAGWAN SINGH</t>
  </si>
  <si>
    <t>2020-2021</t>
  </si>
  <si>
    <t>[BED-111] Contemporary India and Education</t>
  </si>
  <si>
    <t>P</t>
  </si>
  <si>
    <t>[BED-112] Philosophical and Sociological Perspectives of Education</t>
  </si>
  <si>
    <t>[BED-113] Growing up as a Learner</t>
  </si>
  <si>
    <t>[BED-114] Teacher, Teaching and Technology</t>
  </si>
  <si>
    <t>[BED-119] Pedagogy of Mathematics</t>
  </si>
  <si>
    <t xml:space="preserve">[BED-1110] Pedagogy of Physical Science </t>
  </si>
  <si>
    <t>[BED-P-1115] Workshop</t>
  </si>
  <si>
    <t>[BED-P-1118] Pupil Teacher Training for development of skills</t>
  </si>
  <si>
    <t>Date</t>
  </si>
  <si>
    <t>Sept-2019</t>
  </si>
  <si>
    <t>2000500.JPEG</t>
  </si>
  <si>
    <t>Date of Issue</t>
  </si>
  <si>
    <t>21-03-2023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</si>
</sst>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sz val="11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left"/>
    </xf>
    <xf numFmtId="1" fontId="0" fillId="33" borderId="0" xfId="0" applyNumberFormat="1" applyFill="1"/>
  </cellXfs>
  <cellStyles count="50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4" xr:uid="{00000000-0005-0000-0000-000025000000}"/>
    <cellStyle name="Normal 2 2" xfId="45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4" builtinId="10" customBuiltin="1"/>
    <cellStyle name="Output" xfId="9" builtinId="21" customBuiltin="1"/>
    <cellStyle name="Title" xfId="43" builtinId="15" customBuiltin="1"/>
    <cellStyle name="Title 2" xfId="41" xr:uid="{00000000-0005-0000-0000-00002E000000}"/>
    <cellStyle name="Title 3" xfId="42" xr:uid="{00000000-0005-0000-0000-00002F000000}"/>
    <cellStyle name="Total" xfId="16" builtinId="25" customBuiltin="1"/>
    <cellStyle name="Warning Text" xfId="1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0</xdr:colOff>
      <xdr:row>1</xdr:row>
      <xdr:rowOff>0</xdr:rowOff>
    </xdr:from>
    <xdr:ext cx="914400" cy="228600"/>
    <xdr:pic>
      <xdr:nvPicPr>
        <xdr:cNvPr id="2" name="Picture 19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420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" name="Picture 28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420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" name="Picture 19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6113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" name="Picture 28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6113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" name="Picture 19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" name="Picture 28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" name="Picture 19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" name="Picture 28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" name="Picture 19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" name="Picture 28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" name="Picture 19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" name="Picture 28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" name="Picture 19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57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" name="Picture 28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57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" name="Picture 19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7" name="Picture 28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8" name="Picture 19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9" name="Picture 28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1" name="Picture 28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2" name="Picture 19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3" name="Picture 28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5" name="Picture 28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6" name="Picture 19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7" name="Picture 28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8" name="Picture 19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2" name="Picture 31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3" name="Picture 28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4" name="Picture 19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5" name="Picture 28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6" name="Picture 19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7" name="Picture 28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8" name="Picture 37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9" name="Picture 28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0" name="Picture 19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1" name="Picture 28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2" name="Picture 19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3" name="Picture 28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4" name="Picture 43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5" name="Picture 28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6" name="Picture 19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7" name="Picture 28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8" name="Picture 19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9" name="Picture 48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0" name="Picture 19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1" name="Picture 28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2" name="Picture 19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3" name="Picture 28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4" name="Picture 19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277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5" name="Picture 28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277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6" name="Picture 55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7" name="Picture 28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8" name="Picture 19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9" name="Picture 28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0" name="Picture 19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1" name="Picture 60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2" name="Picture 61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3" name="Picture 28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4" name="Picture 19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5" name="Picture 28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6" name="Picture 65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687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7" name="Picture 28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687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8" name="Picture 19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90025" y="76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9" name="Picture 28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90025" y="76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0" name="Picture 19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4878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1" name="Picture 28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4878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2" name="Picture 19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3" name="Picture 72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4" name="Picture 19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5" name="Picture 74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6" name="Picture 19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7" name="Picture 76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8" name="Picture 19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9" name="Picture 78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0" name="Picture 19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1" name="Picture 80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2" name="Picture 19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3" name="Picture 82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4" name="Picture 19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5" name="Picture 28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6" name="Picture 19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59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7" name="Picture 28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59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8" name="Picture 19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9" name="Picture 28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0" name="Picture 19" hidden="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1" name="Picture 28" hidden="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2" name="Picture 19" hidden="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3" name="Picture 28" hidden="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4" name="Picture 19" hidden="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18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5" name="Picture 28" hidden="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18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6" name="Picture 19" hidden="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090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7" name="Picture 28" hidden="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090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8" name="Picture 19" hidden="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9" name="Picture 28" hidden="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0" name="Picture 19" hidden="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1" name="Picture 28" hidden="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2" name="Picture 19" hidden="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59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3" name="Picture 28" hidden="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59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4" name="Picture 19" hidden="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5" name="Picture 28" hidden="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6" name="Picture 19" hidden="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75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7" name="Picture 28" hidden="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75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8" name="Picture 19" hidden="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80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9" name="Picture 28" hidden="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80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0" name="Picture 19" hidden="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233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1" name="Picture 28" hidden="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233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2" name="Picture 19" hidden="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424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3" name="Picture 28" hidden="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424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4" name="Picture 19" hidden="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5" name="Picture 28" hidden="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6" name="Picture 19" hidden="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7" name="Picture 28" hidden="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8" name="Picture 19" hidden="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9" name="Picture 28" hidden="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0" name="Picture 19" hidden="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1" name="Picture 28" hidden="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2" name="Picture 19" hidden="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3" name="Picture 28" hidden="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4" name="Picture 19" hidden="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5" name="Picture 28" hidden="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6" name="Picture 19" hidden="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7" name="Picture 28" hidden="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8" name="Picture 19" hidden="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9" name="Picture 28" hidden="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0" name="Picture 19" hidden="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359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1" name="Picture 28" hidden="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359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2" name="Picture 19" hidden="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3" name="Picture 28" hidden="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4" name="Picture 19" hidden="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5" name="Picture 28" hidden="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6" name="Picture 19" hidden="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7" name="Picture 28" hidden="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8" name="Picture 19" hidden="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9" name="Picture 28" hidden="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0" name="Picture 19" hidden="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1" name="Picture 28" hidden="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2" name="Picture 19" hidden="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3" name="Picture 28" hidden="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4" name="Picture 19" hidden="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5" name="Picture 28" hidden="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6" name="Picture 19" hidden="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7" name="Picture 28" hidden="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8" name="Picture 147" hidden="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9" name="Picture 28" hidden="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0" name="Picture 19" hidden="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1" name="Picture 28" hidden="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2" name="Picture 19" hidden="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3" name="Picture 152" hidden="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4" name="Picture 19" hidden="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5" name="Picture 28" hidden="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6" name="Picture 19" hidden="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7" name="Picture 28" hidden="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2" name="Picture 19" hidden="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740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3" name="Picture 28" hidden="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740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4" name="Picture 19" hidden="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93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5" name="Picture 28" hidden="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93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0" name="Picture 19" hidden="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1" name="Picture 28" hidden="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"/>
  <sheetViews>
    <sheetView tabSelected="1" topLeftCell="EH1" zoomScaleNormal="100" workbookViewId="0">
      <selection activeCell="ET1" sqref="ET1:ET2"/>
    </sheetView>
  </sheetViews>
  <sheetFormatPr defaultRowHeight="15" x14ac:dyDescent="0.25"/>
  <cols>
    <col min="1" max="1" width="12" style="4" bestFit="1" customWidth="1"/>
    <col min="2" max="2" width="13.5703125" style="3" bestFit="1" customWidth="1"/>
    <col min="3" max="3" width="11" style="3" bestFit="1" customWidth="1"/>
    <col min="4" max="4" width="26" style="2" bestFit="1" customWidth="1"/>
    <col min="5" max="5" width="24.28515625" style="2" bestFit="1" customWidth="1"/>
    <col min="6" max="6" width="12.42578125" style="2" bestFit="1" customWidth="1"/>
    <col min="7" max="7" width="8.7109375" style="2" bestFit="1" customWidth="1"/>
    <col min="8" max="8" width="9.7109375" style="2" bestFit="1" customWidth="1"/>
    <col min="9" max="9" width="42.28515625" style="2" bestFit="1" customWidth="1"/>
    <col min="10" max="10" width="14.140625" style="2" bestFit="1" customWidth="1"/>
    <col min="11" max="11" width="13.5703125" style="2" bestFit="1" customWidth="1"/>
    <col min="12" max="12" width="15.42578125" style="2" bestFit="1" customWidth="1"/>
    <col min="13" max="13" width="14.85546875" style="2" bestFit="1" customWidth="1"/>
    <col min="14" max="14" width="14.42578125" style="2" bestFit="1" customWidth="1"/>
    <col min="15" max="15" width="13.85546875" style="2" bestFit="1" customWidth="1"/>
    <col min="16" max="16" width="15.7109375" style="2" bestFit="1" customWidth="1"/>
    <col min="17" max="17" width="15.140625" style="2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61.28515625" style="2" bestFit="1" customWidth="1"/>
    <col min="22" max="22" width="14.140625" style="2" bestFit="1" customWidth="1"/>
    <col min="23" max="23" width="13.5703125" style="2" bestFit="1" customWidth="1"/>
    <col min="24" max="24" width="15.42578125" style="2" bestFit="1" customWidth="1"/>
    <col min="25" max="25" width="14.85546875" style="2" bestFit="1" customWidth="1"/>
    <col min="26" max="26" width="14.42578125" style="2" bestFit="1" customWidth="1"/>
    <col min="27" max="27" width="13.85546875" style="2" bestFit="1" customWidth="1"/>
    <col min="28" max="28" width="15.7109375" style="2" bestFit="1" customWidth="1"/>
    <col min="29" max="29" width="15.140625" style="2" bestFit="1" customWidth="1"/>
    <col min="30" max="30" width="10.7109375" style="2" bestFit="1" customWidth="1"/>
    <col min="31" max="31" width="10.140625" style="2" bestFit="1" customWidth="1"/>
    <col min="32" max="32" width="8.7109375" style="2" bestFit="1" customWidth="1"/>
    <col min="33" max="33" width="32.28515625" style="2" bestFit="1" customWidth="1"/>
    <col min="34" max="34" width="14.140625" style="2" bestFit="1" customWidth="1"/>
    <col min="35" max="35" width="13.5703125" style="2" bestFit="1" customWidth="1"/>
    <col min="36" max="36" width="15.42578125" style="2" bestFit="1" customWidth="1"/>
    <col min="37" max="37" width="14.85546875" style="2" bestFit="1" customWidth="1"/>
    <col min="38" max="38" width="14.42578125" style="2" bestFit="1" customWidth="1"/>
    <col min="39" max="39" width="13.85546875" style="2" bestFit="1" customWidth="1"/>
    <col min="40" max="40" width="15.7109375" style="2" bestFit="1" customWidth="1"/>
    <col min="41" max="41" width="15.140625" style="2" bestFit="1" customWidth="1"/>
    <col min="42" max="42" width="10.7109375" style="2" bestFit="1" customWidth="1"/>
    <col min="43" max="43" width="10.140625" style="2" bestFit="1" customWidth="1"/>
    <col min="44" max="44" width="8.7109375" style="2" bestFit="1" customWidth="1"/>
    <col min="45" max="45" width="39.7109375" style="2" bestFit="1" customWidth="1"/>
    <col min="46" max="46" width="14.140625" style="2" bestFit="1" customWidth="1"/>
    <col min="47" max="47" width="13.5703125" style="2" bestFit="1" customWidth="1"/>
    <col min="48" max="48" width="15.42578125" style="2" bestFit="1" customWidth="1"/>
    <col min="49" max="49" width="14.85546875" style="2" bestFit="1" customWidth="1"/>
    <col min="50" max="50" width="14.42578125" style="2" bestFit="1" customWidth="1"/>
    <col min="51" max="51" width="13.85546875" style="2" bestFit="1" customWidth="1"/>
    <col min="52" max="52" width="15.7109375" style="2" bestFit="1" customWidth="1"/>
    <col min="53" max="53" width="15.140625" style="2" bestFit="1" customWidth="1"/>
    <col min="54" max="54" width="10.7109375" style="2" bestFit="1" customWidth="1"/>
    <col min="55" max="55" width="10.140625" style="2" bestFit="1" customWidth="1"/>
    <col min="56" max="56" width="8.7109375" style="2" bestFit="1" customWidth="1"/>
    <col min="57" max="57" width="36.85546875" style="2" bestFit="1" customWidth="1"/>
    <col min="58" max="58" width="14.140625" style="2" bestFit="1" customWidth="1"/>
    <col min="59" max="59" width="13.5703125" style="2" bestFit="1" customWidth="1"/>
    <col min="60" max="60" width="15.42578125" style="2" bestFit="1" customWidth="1"/>
    <col min="61" max="61" width="14.85546875" style="2" bestFit="1" customWidth="1"/>
    <col min="62" max="62" width="14.42578125" style="2" bestFit="1" customWidth="1"/>
    <col min="63" max="63" width="13.85546875" style="2" bestFit="1" customWidth="1"/>
    <col min="64" max="64" width="15.7109375" style="2" bestFit="1" customWidth="1"/>
    <col min="65" max="65" width="15.140625" style="2" bestFit="1" customWidth="1"/>
    <col min="66" max="66" width="10.7109375" style="2" bestFit="1" customWidth="1"/>
    <col min="67" max="67" width="10.140625" style="2" bestFit="1" customWidth="1"/>
    <col min="68" max="68" width="8.7109375" style="2" bestFit="1" customWidth="1"/>
    <col min="69" max="69" width="39.28515625" style="2" bestFit="1" customWidth="1"/>
    <col min="70" max="70" width="14.140625" style="2" bestFit="1" customWidth="1"/>
    <col min="71" max="71" width="13.5703125" style="2" bestFit="1" customWidth="1"/>
    <col min="72" max="72" width="15.42578125" style="2" bestFit="1" customWidth="1"/>
    <col min="73" max="73" width="14.85546875" style="2" bestFit="1" customWidth="1"/>
    <col min="74" max="74" width="14.42578125" style="2" bestFit="1" customWidth="1"/>
    <col min="75" max="75" width="13.85546875" style="2" bestFit="1" customWidth="1"/>
    <col min="76" max="76" width="15.7109375" style="2" bestFit="1" customWidth="1"/>
    <col min="77" max="77" width="15.140625" style="2" bestFit="1" customWidth="1"/>
    <col min="78" max="78" width="10.7109375" style="2" bestFit="1" customWidth="1"/>
    <col min="79" max="79" width="10.140625" style="2" bestFit="1" customWidth="1"/>
    <col min="80" max="80" width="8.7109375" style="2" bestFit="1" customWidth="1"/>
    <col min="81" max="81" width="41.140625" style="2" bestFit="1" customWidth="1"/>
    <col min="82" max="82" width="14.140625" style="2" bestFit="1" customWidth="1"/>
    <col min="83" max="83" width="13.5703125" style="2" bestFit="1" customWidth="1"/>
    <col min="84" max="84" width="15.42578125" style="2" bestFit="1" customWidth="1"/>
    <col min="85" max="85" width="14.85546875" style="2" bestFit="1" customWidth="1"/>
    <col min="86" max="86" width="14.42578125" style="2" bestFit="1" customWidth="1"/>
    <col min="87" max="87" width="13.85546875" style="2" bestFit="1" customWidth="1"/>
    <col min="88" max="88" width="15.7109375" style="2" bestFit="1" customWidth="1"/>
    <col min="89" max="89" width="15.140625" style="2" bestFit="1" customWidth="1"/>
    <col min="90" max="90" width="10.7109375" style="2" bestFit="1" customWidth="1"/>
    <col min="91" max="91" width="10.140625" style="2" bestFit="1" customWidth="1"/>
    <col min="92" max="92" width="8.7109375" style="2" bestFit="1" customWidth="1"/>
    <col min="93" max="93" width="39.7109375" style="2" bestFit="1" customWidth="1"/>
    <col min="94" max="94" width="14.140625" style="2" bestFit="1" customWidth="1"/>
    <col min="95" max="95" width="13.5703125" style="2" bestFit="1" customWidth="1"/>
    <col min="96" max="96" width="15.42578125" style="2" bestFit="1" customWidth="1"/>
    <col min="97" max="97" width="14.85546875" style="2" bestFit="1" customWidth="1"/>
    <col min="98" max="98" width="14.42578125" style="2" bestFit="1" customWidth="1"/>
    <col min="99" max="99" width="13.85546875" style="2" bestFit="1" customWidth="1"/>
    <col min="100" max="100" width="15.7109375" style="2" bestFit="1" customWidth="1"/>
    <col min="101" max="101" width="15.140625" style="2" bestFit="1" customWidth="1"/>
    <col min="102" max="102" width="10.7109375" style="2" bestFit="1" customWidth="1"/>
    <col min="103" max="103" width="10.140625" style="2" bestFit="1" customWidth="1"/>
    <col min="104" max="104" width="8.7109375" style="2" bestFit="1" customWidth="1"/>
    <col min="105" max="105" width="8.5703125" style="2" bestFit="1" customWidth="1"/>
    <col min="106" max="106" width="14.140625" style="2" bestFit="1" customWidth="1"/>
    <col min="107" max="107" width="13.5703125" style="2" bestFit="1" customWidth="1"/>
    <col min="108" max="108" width="15.42578125" style="2" bestFit="1" customWidth="1"/>
    <col min="109" max="109" width="14.85546875" style="2" bestFit="1" customWidth="1"/>
    <col min="110" max="110" width="14.42578125" style="2" bestFit="1" customWidth="1"/>
    <col min="111" max="111" width="13.85546875" style="2" bestFit="1" customWidth="1"/>
    <col min="112" max="112" width="15.7109375" style="2" bestFit="1" customWidth="1"/>
    <col min="113" max="113" width="15.140625" style="2" bestFit="1" customWidth="1"/>
    <col min="114" max="114" width="10.7109375" style="2" bestFit="1" customWidth="1"/>
    <col min="115" max="115" width="10.140625" style="2" bestFit="1" customWidth="1"/>
    <col min="116" max="116" width="8.7109375" style="2" bestFit="1" customWidth="1"/>
    <col min="117" max="117" width="9.5703125" style="2" bestFit="1" customWidth="1"/>
    <col min="118" max="118" width="15.140625" style="2" bestFit="1" customWidth="1"/>
    <col min="119" max="119" width="14.5703125" style="2" bestFit="1" customWidth="1"/>
    <col min="120" max="120" width="16.42578125" style="2" bestFit="1" customWidth="1"/>
    <col min="121" max="121" width="15.85546875" style="2" bestFit="1" customWidth="1"/>
    <col min="122" max="122" width="15.42578125" style="2" bestFit="1" customWidth="1"/>
    <col min="123" max="123" width="14.85546875" style="2" bestFit="1" customWidth="1"/>
    <col min="124" max="124" width="16.7109375" style="2" bestFit="1" customWidth="1"/>
    <col min="125" max="125" width="16.140625" style="2" bestFit="1" customWidth="1"/>
    <col min="126" max="126" width="11.7109375" style="2" bestFit="1" customWidth="1"/>
    <col min="127" max="127" width="11.140625" style="2" bestFit="1" customWidth="1"/>
    <col min="128" max="128" width="9.7109375" style="2" bestFit="1" customWidth="1"/>
    <col min="129" max="129" width="9.5703125" style="2" bestFit="1" customWidth="1"/>
    <col min="130" max="130" width="15.140625" style="2" bestFit="1" customWidth="1"/>
    <col min="131" max="131" width="14.5703125" style="2" bestFit="1" customWidth="1"/>
    <col min="132" max="132" width="16.42578125" style="2" bestFit="1" customWidth="1"/>
    <col min="133" max="133" width="15.85546875" style="2" bestFit="1" customWidth="1"/>
    <col min="134" max="134" width="15.42578125" style="2" bestFit="1" customWidth="1"/>
    <col min="135" max="135" width="14.85546875" style="2" bestFit="1" customWidth="1"/>
    <col min="136" max="136" width="16.7109375" style="2" bestFit="1" customWidth="1"/>
    <col min="137" max="137" width="16.140625" style="2" bestFit="1" customWidth="1"/>
    <col min="138" max="138" width="11.7109375" style="2" bestFit="1" customWidth="1"/>
    <col min="139" max="139" width="11.140625" style="2" bestFit="1" customWidth="1"/>
    <col min="140" max="140" width="9.7109375" style="2" bestFit="1" customWidth="1"/>
    <col min="141" max="141" width="10" style="2" bestFit="1" customWidth="1"/>
    <col min="142" max="142" width="13.85546875" style="2" bestFit="1" customWidth="1"/>
    <col min="143" max="143" width="10" style="2" bestFit="1" customWidth="1"/>
    <col min="144" max="144" width="10.7109375" style="2" bestFit="1" customWidth="1"/>
    <col min="145" max="145" width="8.85546875" style="2" bestFit="1" customWidth="1"/>
    <col min="146" max="146" width="9.5703125" style="2" bestFit="1" customWidth="1"/>
    <col min="147" max="147" width="6.5703125" style="2" bestFit="1" customWidth="1"/>
    <col min="148" max="148" width="11.85546875" style="2" customWidth="1"/>
    <col min="149" max="149" width="17.5703125" style="2" customWidth="1"/>
    <col min="150" max="16384" width="9.140625" style="2"/>
  </cols>
  <sheetData>
    <row r="1" spans="1:150" x14ac:dyDescent="0.25">
      <c r="A1" s="4" t="s">
        <v>1</v>
      </c>
      <c r="B1" s="3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122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123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124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125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126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127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128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2" t="s">
        <v>94</v>
      </c>
      <c r="CX1" s="2" t="s">
        <v>95</v>
      </c>
      <c r="CY1" s="2" t="s">
        <v>96</v>
      </c>
      <c r="CZ1" s="2" t="s">
        <v>129</v>
      </c>
      <c r="DA1" s="2" t="s">
        <v>97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130</v>
      </c>
      <c r="DM1" s="2" t="s">
        <v>108</v>
      </c>
      <c r="DN1" s="2" t="s">
        <v>109</v>
      </c>
      <c r="DO1" s="2" t="s">
        <v>110</v>
      </c>
      <c r="DP1" s="2" t="s">
        <v>111</v>
      </c>
      <c r="DQ1" s="2" t="s">
        <v>112</v>
      </c>
      <c r="DR1" s="2" t="s">
        <v>113</v>
      </c>
      <c r="DS1" s="2" t="s">
        <v>114</v>
      </c>
      <c r="DT1" s="2" t="s">
        <v>115</v>
      </c>
      <c r="DU1" s="2" t="s">
        <v>116</v>
      </c>
      <c r="DV1" s="2" t="s">
        <v>117</v>
      </c>
      <c r="DW1" s="2" t="s">
        <v>118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120</v>
      </c>
      <c r="EL1" s="2" t="s">
        <v>119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121</v>
      </c>
      <c r="ER1" s="2" t="s">
        <v>164</v>
      </c>
      <c r="ES1" s="2" t="s">
        <v>151</v>
      </c>
      <c r="ET1" s="2" t="s">
        <v>167</v>
      </c>
    </row>
    <row r="2" spans="1:150" s="3" customFormat="1" ht="15.75" customHeight="1" x14ac:dyDescent="0.25">
      <c r="A2" s="5">
        <v>2000345</v>
      </c>
      <c r="B2" s="3">
        <v>2000500</v>
      </c>
      <c r="C2" s="3">
        <v>2014310031</v>
      </c>
      <c r="D2" s="3" t="s">
        <v>152</v>
      </c>
      <c r="E2" s="3" t="s">
        <v>153</v>
      </c>
      <c r="F2" s="3" t="s">
        <v>150</v>
      </c>
      <c r="G2" s="3" t="s">
        <v>145</v>
      </c>
      <c r="H2" s="3" t="s">
        <v>154</v>
      </c>
      <c r="I2" s="3" t="s">
        <v>155</v>
      </c>
      <c r="J2" s="3">
        <v>30</v>
      </c>
      <c r="K2" s="3">
        <v>24</v>
      </c>
      <c r="L2" s="3" t="s">
        <v>144</v>
      </c>
      <c r="M2" s="3" t="s">
        <v>144</v>
      </c>
      <c r="N2" s="3">
        <v>70</v>
      </c>
      <c r="O2" s="3">
        <v>53</v>
      </c>
      <c r="P2" s="3" t="s">
        <v>144</v>
      </c>
      <c r="Q2" s="3" t="s">
        <v>144</v>
      </c>
      <c r="R2" s="3">
        <v>100</v>
      </c>
      <c r="S2" s="3">
        <v>77</v>
      </c>
      <c r="T2" s="3" t="s">
        <v>156</v>
      </c>
      <c r="U2" s="3" t="s">
        <v>157</v>
      </c>
      <c r="V2" s="3">
        <v>30</v>
      </c>
      <c r="W2" s="3">
        <v>25</v>
      </c>
      <c r="X2" s="3" t="s">
        <v>144</v>
      </c>
      <c r="Y2" s="3" t="s">
        <v>144</v>
      </c>
      <c r="Z2" s="3">
        <v>70</v>
      </c>
      <c r="AA2" s="3">
        <v>55</v>
      </c>
      <c r="AB2" s="3" t="s">
        <v>144</v>
      </c>
      <c r="AC2" s="3" t="s">
        <v>144</v>
      </c>
      <c r="AD2" s="3">
        <v>100</v>
      </c>
      <c r="AE2" s="3">
        <v>80</v>
      </c>
      <c r="AF2" s="3" t="s">
        <v>156</v>
      </c>
      <c r="AG2" s="3" t="s">
        <v>158</v>
      </c>
      <c r="AH2" s="3">
        <v>30</v>
      </c>
      <c r="AI2" s="3">
        <v>21</v>
      </c>
      <c r="AJ2" s="3" t="s">
        <v>144</v>
      </c>
      <c r="AK2" s="3" t="s">
        <v>144</v>
      </c>
      <c r="AL2" s="3">
        <v>70</v>
      </c>
      <c r="AM2" s="3">
        <v>49</v>
      </c>
      <c r="AN2" s="3" t="s">
        <v>144</v>
      </c>
      <c r="AO2" s="3" t="s">
        <v>144</v>
      </c>
      <c r="AP2" s="3">
        <v>100</v>
      </c>
      <c r="AQ2" s="3">
        <v>70</v>
      </c>
      <c r="AR2" s="3" t="s">
        <v>156</v>
      </c>
      <c r="AS2" s="3" t="s">
        <v>159</v>
      </c>
      <c r="AT2" s="3">
        <v>30</v>
      </c>
      <c r="AU2" s="3">
        <v>23</v>
      </c>
      <c r="AV2" s="3" t="s">
        <v>144</v>
      </c>
      <c r="AW2" s="3" t="s">
        <v>144</v>
      </c>
      <c r="AX2" s="3">
        <v>70</v>
      </c>
      <c r="AY2" s="3">
        <v>59</v>
      </c>
      <c r="AZ2" s="3" t="s">
        <v>144</v>
      </c>
      <c r="BA2" s="3" t="s">
        <v>144</v>
      </c>
      <c r="BB2" s="3">
        <v>100</v>
      </c>
      <c r="BC2" s="3">
        <v>82</v>
      </c>
      <c r="BD2" s="3" t="s">
        <v>156</v>
      </c>
      <c r="BE2" s="3" t="s">
        <v>160</v>
      </c>
      <c r="BF2" s="3">
        <v>30</v>
      </c>
      <c r="BG2" s="3">
        <v>25</v>
      </c>
      <c r="BH2" s="3" t="s">
        <v>144</v>
      </c>
      <c r="BI2" s="3" t="s">
        <v>144</v>
      </c>
      <c r="BJ2" s="3">
        <v>70</v>
      </c>
      <c r="BK2" s="3">
        <v>47</v>
      </c>
      <c r="BL2" s="3" t="s">
        <v>144</v>
      </c>
      <c r="BM2" s="3" t="s">
        <v>144</v>
      </c>
      <c r="BN2" s="3">
        <v>100</v>
      </c>
      <c r="BO2" s="3">
        <v>72</v>
      </c>
      <c r="BP2" s="3" t="s">
        <v>156</v>
      </c>
      <c r="BQ2" s="3" t="s">
        <v>161</v>
      </c>
      <c r="BR2" s="3">
        <v>30</v>
      </c>
      <c r="BS2" s="3">
        <v>25</v>
      </c>
      <c r="BT2" s="3" t="s">
        <v>144</v>
      </c>
      <c r="BU2" s="3" t="s">
        <v>144</v>
      </c>
      <c r="BV2" s="3">
        <v>70</v>
      </c>
      <c r="BW2" s="3">
        <v>49</v>
      </c>
      <c r="BX2" s="3" t="s">
        <v>144</v>
      </c>
      <c r="BY2" s="3" t="s">
        <v>144</v>
      </c>
      <c r="BZ2" s="3">
        <v>100</v>
      </c>
      <c r="CA2" s="3">
        <v>74</v>
      </c>
      <c r="CB2" s="3" t="s">
        <v>156</v>
      </c>
      <c r="CC2" s="3" t="s">
        <v>162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>
        <v>100</v>
      </c>
      <c r="CK2" s="3">
        <v>78</v>
      </c>
      <c r="CL2" s="3">
        <v>100</v>
      </c>
      <c r="CM2" s="3">
        <v>78</v>
      </c>
      <c r="CN2" s="3" t="s">
        <v>156</v>
      </c>
      <c r="CO2" s="3" t="s">
        <v>163</v>
      </c>
      <c r="CP2" s="3" t="s">
        <v>144</v>
      </c>
      <c r="CQ2" s="3" t="s">
        <v>144</v>
      </c>
      <c r="CR2" s="3">
        <v>50</v>
      </c>
      <c r="CS2" s="3">
        <v>42</v>
      </c>
      <c r="CT2" s="3" t="s">
        <v>144</v>
      </c>
      <c r="CU2" s="3" t="s">
        <v>144</v>
      </c>
      <c r="CV2" s="3">
        <v>50</v>
      </c>
      <c r="CW2" s="3">
        <v>42</v>
      </c>
      <c r="CX2" s="3">
        <v>100</v>
      </c>
      <c r="CY2" s="3">
        <v>84</v>
      </c>
      <c r="CZ2" s="3" t="s">
        <v>156</v>
      </c>
      <c r="EK2" s="1">
        <v>800</v>
      </c>
      <c r="EL2" s="1">
        <f t="shared" ref="EL2" si="0">SUM(S2,AE2,AQ2,BC2,BO2,CA2,CM2,CY2)</f>
        <v>617</v>
      </c>
      <c r="EM2">
        <f t="shared" ref="EM2" si="1">SUM(S2,AE2,AQ2,BC2,BO2,CA2,)</f>
        <v>455</v>
      </c>
      <c r="EN2">
        <f t="shared" ref="EN2" si="2">SUM(CM2,CY2)</f>
        <v>162</v>
      </c>
      <c r="EO2">
        <v>600</v>
      </c>
      <c r="EP2">
        <v>200</v>
      </c>
      <c r="EQ2" s="1" t="s">
        <v>0</v>
      </c>
      <c r="ER2" s="2" t="s">
        <v>165</v>
      </c>
      <c r="ES2" s="3" t="s">
        <v>166</v>
      </c>
      <c r="ET2" s="2" t="s">
        <v>168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manoj</cp:lastModifiedBy>
  <cp:lastPrinted>2016-11-05T06:12:28Z</cp:lastPrinted>
  <dcterms:created xsi:type="dcterms:W3CDTF">2014-02-08T09:21:42Z</dcterms:created>
  <dcterms:modified xsi:type="dcterms:W3CDTF">2023-03-21T11:23:04Z</dcterms:modified>
</cp:coreProperties>
</file>