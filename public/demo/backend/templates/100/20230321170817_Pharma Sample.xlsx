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169BE6CF-0418-446F-9244-6C2A85B3BB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R2" i="1" l="1"/>
  <c r="FQ2" i="1"/>
  <c r="FD2" i="1"/>
  <c r="FC2" i="1"/>
  <c r="EP2" i="1"/>
  <c r="EO2" i="1"/>
  <c r="EB2" i="1"/>
  <c r="EA2" i="1"/>
  <c r="DN2" i="1"/>
  <c r="DM2" i="1"/>
  <c r="CZ2" i="1"/>
  <c r="CY2" i="1"/>
  <c r="CL2" i="1"/>
  <c r="CK2" i="1"/>
  <c r="BX2" i="1"/>
  <c r="BW2" i="1"/>
  <c r="BJ2" i="1"/>
  <c r="BI2" i="1"/>
  <c r="AV2" i="1"/>
  <c r="AU2" i="1"/>
  <c r="AH2" i="1"/>
  <c r="AG2" i="1"/>
  <c r="S2" i="1"/>
  <c r="T2" i="1"/>
  <c r="U2" i="1" l="1"/>
  <c r="BY2" i="1"/>
  <c r="EC2" i="1"/>
  <c r="AI2" i="1"/>
  <c r="CM2" i="1"/>
  <c r="EQ2" i="1"/>
  <c r="AW2" i="1"/>
  <c r="DA2" i="1"/>
  <c r="FE2" i="1"/>
  <c r="BK2" i="1"/>
  <c r="DO2" i="1"/>
  <c r="FS2" i="1"/>
</calcChain>
</file>

<file path=xl/sharedStrings.xml><?xml version="1.0" encoding="utf-8"?>
<sst xmlns="http://schemas.openxmlformats.org/spreadsheetml/2006/main" count="266" uniqueCount="213">
  <si>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</si>
  <si>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</si>
  <si>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</si>
  <si>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</si>
  <si>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</si>
  <si>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</si>
  <si>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</si>
  <si>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</si>
  <si>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</si>
  <si>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</si>
  <si>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</si>
  <si>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</si>
  <si>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</si>
  <si>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</si>
  <si>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</si>
  <si>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</si>
  <si>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</si>
  <si>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</si>
  <si>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</si>
  <si>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</si>
  <si>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</si>
  <si>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</si>
  <si>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</si>
  <si>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</si>
  <si>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</si>
  <si>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</si>
  <si>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</si>
  <si>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</si>
  <si>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</si>
  <si>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</si>
  <si>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</si>
  <si>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</si>
  <si>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</si>
  <si>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</si>
  <si>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</si>
  <si>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</si>
  <si>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</si>
  <si>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</si>
  <si>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</si>
  <si>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</si>
  <si>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</si>
  <si>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</si>
  <si>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</si>
  <si>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</si>
  <si>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</si>
  <si>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</si>
  <si>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</si>
  <si>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</si>
  <si>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</si>
  <si>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</si>
  <si>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</si>
  <si>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</si>
  <si>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</si>
  <si>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</si>
  <si>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</si>
  <si>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</si>
  <si>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</si>
  <si>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</si>
  <si>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</si>
  <si>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</si>
  <si>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</si>
  <si>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</si>
  <si>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</si>
  <si>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</si>
  <si>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</si>
  <si>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</si>
  <si>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</si>
  <si>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</si>
  <si>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</si>
  <si>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</si>
  <si>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</si>
  <si>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</si>
  <si>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</si>
  <si>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</si>
  <si>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</si>
  <si>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</si>
  <si>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</si>
  <si>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</si>
  <si>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</si>
  <si>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</si>
  <si>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</si>
  <si>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</si>
  <si>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</si>
  <si>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</si>
  <si>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</si>
  <si>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</si>
  <si>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</si>
  <si>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</si>
  <si>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</si>
  <si>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</si>
  <si>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</si>
  <si>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</si>
  <si>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</si>
  <si>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</si>
  <si>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</si>
  <si>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</si>
  <si>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</si>
  <si>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</si>
  <si>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</si>
  <si>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</si>
  <si>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</si>
  <si>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</si>
  <si>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</si>
  <si>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</si>
  <si>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</si>
  <si>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</si>
  <si>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</si>
  <si>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</si>
  <si>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</si>
  <si>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</si>
  <si>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</si>
  <si>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</si>
  <si>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</si>
  <si>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</si>
  <si>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</si>
  <si>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</si>
  <si>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</si>
  <si>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</si>
  <si>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</si>
  <si>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</si>
  <si>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</si>
  <si>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</si>
  <si>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</si>
  <si>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</si>
  <si>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</si>
  <si>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</si>
  <si>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</si>
  <si>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</si>
  <si>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</si>
  <si>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</si>
  <si>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</si>
  <si>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</si>
  <si>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</si>
  <si>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</si>
  <si>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</si>
  <si>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</si>
  <si>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</si>
  <si>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</si>
  <si>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</si>
  <si>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</si>
  <si>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</si>
  <si>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</si>
  <si>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</si>
  <si>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</si>
  <si>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</si>
  <si>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</si>
  <si>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</si>
  <si>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</si>
  <si>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</si>
  <si>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</si>
  <si>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</si>
  <si>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</si>
  <si>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</si>
  <si>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</si>
  <si>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__</t>
  </si>
  <si>
    <t>BACHELOR OF PHARMACY</t>
  </si>
  <si>
    <t>total credit</t>
  </si>
  <si>
    <t>SEM 1</t>
  </si>
  <si>
    <t>2018-2019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</si>
  <si>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</si>
  <si>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</si>
  <si>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</si>
  <si>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</si>
  <si>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</si>
  <si>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</si>
  <si>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</si>
  <si>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</si>
  <si>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</si>
  <si>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</si>
  <si>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</si>
  <si>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</si>
  <si>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</si>
  <si>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Dec-2018</t>
  </si>
  <si>
    <t>XXXXXXX</t>
  </si>
  <si>
    <t>coed1</t>
  </si>
  <si>
    <t>coed2</t>
  </si>
  <si>
    <t>Code3</t>
  </si>
  <si>
    <t>Code4</t>
  </si>
  <si>
    <t>Code5</t>
  </si>
  <si>
    <t>Code6</t>
  </si>
  <si>
    <t>Code7</t>
  </si>
  <si>
    <t>Code8</t>
  </si>
  <si>
    <t>Code9</t>
  </si>
  <si>
    <t>Code10</t>
  </si>
  <si>
    <t>code11</t>
  </si>
  <si>
    <t>code12</t>
  </si>
  <si>
    <t>Human Anatomy and Physiology-I</t>
  </si>
  <si>
    <t xml:space="preserve">[BP-101T] </t>
  </si>
  <si>
    <t>Pharmaceutical Analysis-I</t>
  </si>
  <si>
    <t xml:space="preserve">[BP-102T] </t>
  </si>
  <si>
    <t xml:space="preserve"> Pharmaceutics -I </t>
  </si>
  <si>
    <t>[BP-103T]</t>
  </si>
  <si>
    <t xml:space="preserve"> Pharmaceutical Inorganic Chemistry-I</t>
  </si>
  <si>
    <t>[BP-104T]</t>
  </si>
  <si>
    <t xml:space="preserve"> Communication Skills</t>
  </si>
  <si>
    <t>[BP-105T]</t>
  </si>
  <si>
    <t xml:space="preserve"> Remedial Biology </t>
  </si>
  <si>
    <t>[BP-106RBT]</t>
  </si>
  <si>
    <t xml:space="preserve"> Human Anatomy and Physiology-I</t>
  </si>
  <si>
    <t>[BP-P-107]</t>
  </si>
  <si>
    <t xml:space="preserve"> Pharmaceutical Analysis-I</t>
  </si>
  <si>
    <t>[BP-P-108]</t>
  </si>
  <si>
    <t xml:space="preserve">Pharmaceutics -I </t>
  </si>
  <si>
    <t xml:space="preserve">[BP-P-109] </t>
  </si>
  <si>
    <t>[BP-P-110]</t>
  </si>
  <si>
    <t>Communication Skills</t>
  </si>
  <si>
    <t xml:space="preserve">[BP-P-111] </t>
  </si>
  <si>
    <t>[BP-P-112RB]</t>
  </si>
  <si>
    <t>Date</t>
  </si>
  <si>
    <t>Photo</t>
  </si>
  <si>
    <t>1.jpg</t>
  </si>
  <si>
    <t>Date of Issue</t>
  </si>
  <si>
    <t>21-03-2023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</si>
</sst>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</cellStyleXfs>
  <cellXfs count="6">
    <xf numFmtId="0" fontId="0" fillId="0" borderId="0" xfId="0"/>
    <xf numFmtId="1" fontId="0" fillId="0" borderId="0" xfId="0" applyNumberFormat="1" applyAlignment="1">
      <alignment horizontal="left"/>
    </xf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3" xfId="47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itle 2" xfId="44" xr:uid="{00000000-0005-0000-0000-00002C000000}"/>
    <cellStyle name="Title 3" xfId="45" xr:uid="{00000000-0005-0000-0000-00002D000000}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"/>
  <sheetViews>
    <sheetView tabSelected="1" topLeftCell="FN1" zoomScaleNormal="100" workbookViewId="0">
      <selection activeCell="GA1" sqref="GA1:GA2"/>
    </sheetView>
  </sheetViews>
  <sheetFormatPr defaultColWidth="11.140625" defaultRowHeight="15" x14ac:dyDescent="0.25"/>
  <cols>
    <col min="1" max="1" width="9" style="4" bestFit="1" customWidth="1"/>
    <col min="2" max="2" width="13.5703125" bestFit="1" customWidth="1"/>
    <col min="3" max="3" width="9" bestFit="1" customWidth="1"/>
    <col min="4" max="4" width="15.42578125" bestFit="1" customWidth="1"/>
    <col min="5" max="5" width="12" bestFit="1" customWidth="1"/>
    <col min="6" max="6" width="24" bestFit="1" customWidth="1"/>
    <col min="7" max="7" width="8.7109375" bestFit="1" customWidth="1"/>
    <col min="8" max="8" width="9.7109375" bestFit="1" customWidth="1"/>
    <col min="9" max="9" width="9.7109375" customWidth="1"/>
    <col min="10" max="10" width="40.5703125" bestFit="1" customWidth="1"/>
    <col min="11" max="11" width="14.140625" bestFit="1" customWidth="1"/>
    <col min="12" max="12" width="13.5703125" bestFit="1" customWidth="1"/>
    <col min="13" max="13" width="15.42578125" bestFit="1" customWidth="1"/>
    <col min="14" max="14" width="14.85546875" bestFit="1" customWidth="1"/>
    <col min="15" max="15" width="14.42578125" bestFit="1" customWidth="1"/>
    <col min="16" max="16" width="13.85546875" bestFit="1" customWidth="1"/>
    <col min="17" max="17" width="15.7109375" bestFit="1" customWidth="1"/>
    <col min="18" max="18" width="15.140625" bestFit="1" customWidth="1"/>
    <col min="19" max="19" width="10.7109375" style="1" bestFit="1" customWidth="1"/>
    <col min="20" max="20" width="10.140625" style="1" bestFit="1" customWidth="1"/>
    <col min="21" max="21" width="8.7109375" style="1" bestFit="1" customWidth="1"/>
    <col min="22" max="22" width="7" bestFit="1" customWidth="1"/>
    <col min="23" max="23" width="7" customWidth="1"/>
    <col min="24" max="24" width="33.140625" bestFit="1" customWidth="1"/>
    <col min="25" max="25" width="14.140625" bestFit="1" customWidth="1"/>
    <col min="26" max="26" width="13.5703125" bestFit="1" customWidth="1"/>
    <col min="27" max="27" width="15.42578125" bestFit="1" customWidth="1"/>
    <col min="28" max="28" width="14.85546875" bestFit="1" customWidth="1"/>
    <col min="29" max="29" width="14.42578125" bestFit="1" customWidth="1"/>
    <col min="30" max="30" width="13.85546875" bestFit="1" customWidth="1"/>
    <col min="31" max="31" width="15.7109375" bestFit="1" customWidth="1"/>
    <col min="32" max="32" width="15.140625" bestFit="1" customWidth="1"/>
    <col min="33" max="33" width="10.7109375" style="1" bestFit="1" customWidth="1"/>
    <col min="34" max="34" width="10.140625" style="1" bestFit="1" customWidth="1"/>
    <col min="35" max="35" width="8.7109375" style="1" bestFit="1" customWidth="1"/>
    <col min="36" max="36" width="7" bestFit="1" customWidth="1"/>
    <col min="37" max="37" width="7" customWidth="1"/>
    <col min="38" max="38" width="25.28515625" bestFit="1" customWidth="1"/>
    <col min="39" max="39" width="14.140625" bestFit="1" customWidth="1"/>
    <col min="40" max="40" width="13.5703125" bestFit="1" customWidth="1"/>
    <col min="41" max="41" width="15.42578125" bestFit="1" customWidth="1"/>
    <col min="42" max="42" width="14.85546875" bestFit="1" customWidth="1"/>
    <col min="43" max="43" width="14.42578125" bestFit="1" customWidth="1"/>
    <col min="44" max="44" width="13.85546875" bestFit="1" customWidth="1"/>
    <col min="45" max="45" width="15.7109375" bestFit="1" customWidth="1"/>
    <col min="46" max="46" width="15.140625" bestFit="1" customWidth="1"/>
    <col min="47" max="47" width="10.7109375" style="1" bestFit="1" customWidth="1"/>
    <col min="48" max="48" width="10.140625" style="1" bestFit="1" customWidth="1"/>
    <col min="49" max="49" width="8.7109375" style="1" bestFit="1" customWidth="1"/>
    <col min="50" max="50" width="7" bestFit="1" customWidth="1"/>
    <col min="51" max="51" width="7" customWidth="1"/>
    <col min="52" max="52" width="43.85546875" bestFit="1" customWidth="1"/>
    <col min="53" max="53" width="14.140625" bestFit="1" customWidth="1"/>
    <col min="54" max="54" width="13.5703125" bestFit="1" customWidth="1"/>
    <col min="55" max="55" width="15.42578125" bestFit="1" customWidth="1"/>
    <col min="56" max="56" width="14.85546875" bestFit="1" customWidth="1"/>
    <col min="57" max="57" width="14.42578125" bestFit="1" customWidth="1"/>
    <col min="58" max="58" width="13.85546875" bestFit="1" customWidth="1"/>
    <col min="59" max="59" width="15.7109375" bestFit="1" customWidth="1"/>
    <col min="60" max="60" width="15.140625" bestFit="1" customWidth="1"/>
    <col min="61" max="61" width="10.7109375" style="1" bestFit="1" customWidth="1"/>
    <col min="62" max="62" width="10.140625" style="1" bestFit="1" customWidth="1"/>
    <col min="63" max="63" width="8.7109375" style="1" bestFit="1" customWidth="1"/>
    <col min="64" max="64" width="7" bestFit="1" customWidth="1"/>
    <col min="65" max="65" width="7" customWidth="1"/>
    <col min="66" max="66" width="29.42578125" bestFit="1" customWidth="1"/>
    <col min="67" max="67" width="14.140625" bestFit="1" customWidth="1"/>
    <col min="68" max="68" width="13.5703125" bestFit="1" customWidth="1"/>
    <col min="69" max="69" width="15.42578125" bestFit="1" customWidth="1"/>
    <col min="70" max="70" width="14.85546875" bestFit="1" customWidth="1"/>
    <col min="71" max="71" width="14.42578125" bestFit="1" customWidth="1"/>
    <col min="72" max="72" width="13.85546875" bestFit="1" customWidth="1"/>
    <col min="73" max="73" width="15.7109375" bestFit="1" customWidth="1"/>
    <col min="74" max="74" width="15.140625" bestFit="1" customWidth="1"/>
    <col min="75" max="75" width="10.7109375" style="1" bestFit="1" customWidth="1"/>
    <col min="76" max="76" width="10.140625" style="1" bestFit="1" customWidth="1"/>
    <col min="77" max="77" width="8.7109375" style="1" bestFit="1" customWidth="1"/>
    <col min="78" max="78" width="7" bestFit="1" customWidth="1"/>
    <col min="79" max="79" width="7" customWidth="1"/>
    <col min="80" max="80" width="28.5703125" bestFit="1" customWidth="1"/>
    <col min="81" max="81" width="14.140625" bestFit="1" customWidth="1"/>
    <col min="82" max="82" width="13.5703125" bestFit="1" customWidth="1"/>
    <col min="83" max="83" width="15.42578125" bestFit="1" customWidth="1"/>
    <col min="84" max="84" width="14.85546875" bestFit="1" customWidth="1"/>
    <col min="85" max="85" width="14.42578125" bestFit="1" customWidth="1"/>
    <col min="86" max="86" width="13.85546875" bestFit="1" customWidth="1"/>
    <col min="87" max="87" width="15.7109375" bestFit="1" customWidth="1"/>
    <col min="88" max="88" width="15.140625" bestFit="1" customWidth="1"/>
    <col min="89" max="89" width="10.7109375" bestFit="1" customWidth="1"/>
    <col min="90" max="90" width="10.140625" bestFit="1" customWidth="1"/>
    <col min="91" max="91" width="8.7109375" bestFit="1" customWidth="1"/>
    <col min="92" max="92" width="7" bestFit="1" customWidth="1"/>
    <col min="93" max="93" width="7" customWidth="1"/>
    <col min="94" max="94" width="41.42578125" bestFit="1" customWidth="1"/>
    <col min="95" max="95" width="14.140625" bestFit="1" customWidth="1"/>
    <col min="96" max="96" width="13.5703125" bestFit="1" customWidth="1"/>
    <col min="97" max="97" width="15.42578125" bestFit="1" customWidth="1"/>
    <col min="98" max="98" width="14.85546875" bestFit="1" customWidth="1"/>
    <col min="99" max="99" width="14.42578125" bestFit="1" customWidth="1"/>
    <col min="100" max="100" width="13.85546875" bestFit="1" customWidth="1"/>
    <col min="101" max="101" width="15.7109375" bestFit="1" customWidth="1"/>
    <col min="102" max="102" width="15.140625" bestFit="1" customWidth="1"/>
    <col min="103" max="103" width="10.7109375" bestFit="1" customWidth="1"/>
    <col min="104" max="104" width="10.140625" bestFit="1" customWidth="1"/>
    <col min="105" max="105" width="8.7109375" bestFit="1" customWidth="1"/>
    <col min="106" max="106" width="7" bestFit="1" customWidth="1"/>
    <col min="107" max="107" width="7" customWidth="1"/>
    <col min="108" max="108" width="34.140625" bestFit="1" customWidth="1"/>
    <col min="109" max="109" width="14.140625" bestFit="1" customWidth="1"/>
    <col min="110" max="110" width="13.5703125" bestFit="1" customWidth="1"/>
    <col min="111" max="111" width="15.42578125" bestFit="1" customWidth="1"/>
    <col min="112" max="112" width="14.85546875" bestFit="1" customWidth="1"/>
    <col min="113" max="113" width="14.42578125" bestFit="1" customWidth="1"/>
    <col min="114" max="114" width="13.85546875" bestFit="1" customWidth="1"/>
    <col min="115" max="115" width="15.7109375" bestFit="1" customWidth="1"/>
    <col min="116" max="116" width="15.140625" bestFit="1" customWidth="1"/>
    <col min="117" max="117" width="10.7109375" bestFit="1" customWidth="1"/>
    <col min="118" max="118" width="10.140625" bestFit="1" customWidth="1"/>
    <col min="119" max="119" width="8.7109375" bestFit="1" customWidth="1"/>
    <col min="120" max="120" width="7" bestFit="1" customWidth="1"/>
    <col min="121" max="121" width="7" customWidth="1"/>
    <col min="122" max="122" width="26.28515625" bestFit="1" customWidth="1"/>
    <col min="123" max="123" width="14.140625" bestFit="1" customWidth="1"/>
    <col min="124" max="124" width="13.5703125" bestFit="1" customWidth="1"/>
    <col min="125" max="125" width="15.42578125" bestFit="1" customWidth="1"/>
    <col min="126" max="126" width="14.85546875" bestFit="1" customWidth="1"/>
    <col min="127" max="127" width="14.42578125" bestFit="1" customWidth="1"/>
    <col min="128" max="128" width="13.85546875" bestFit="1" customWidth="1"/>
    <col min="129" max="129" width="15.7109375" bestFit="1" customWidth="1"/>
    <col min="130" max="130" width="15.140625" bestFit="1" customWidth="1"/>
    <col min="131" max="131" width="10.7109375" bestFit="1" customWidth="1"/>
    <col min="132" max="132" width="10.140625" bestFit="1" customWidth="1"/>
    <col min="133" max="133" width="8.7109375" bestFit="1" customWidth="1"/>
    <col min="134" max="134" width="7" bestFit="1" customWidth="1"/>
    <col min="135" max="135" width="7" customWidth="1"/>
    <col min="136" max="136" width="44.7109375" bestFit="1" customWidth="1"/>
    <col min="137" max="137" width="15.140625" bestFit="1" customWidth="1"/>
    <col min="138" max="138" width="14.5703125" bestFit="1" customWidth="1"/>
    <col min="139" max="139" width="16.42578125" bestFit="1" customWidth="1"/>
    <col min="140" max="140" width="15.85546875" bestFit="1" customWidth="1"/>
    <col min="141" max="141" width="15.42578125" bestFit="1" customWidth="1"/>
    <col min="142" max="142" width="14.85546875" bestFit="1" customWidth="1"/>
    <col min="143" max="143" width="16.7109375" bestFit="1" customWidth="1"/>
    <col min="144" max="144" width="16.140625" bestFit="1" customWidth="1"/>
    <col min="145" max="145" width="11.7109375" bestFit="1" customWidth="1"/>
    <col min="147" max="147" width="9.7109375" bestFit="1" customWidth="1"/>
    <col min="148" max="148" width="8" bestFit="1" customWidth="1"/>
    <col min="149" max="149" width="16.140625" customWidth="1"/>
    <col min="150" max="150" width="30.42578125" bestFit="1" customWidth="1"/>
    <col min="151" max="151" width="15.140625" bestFit="1" customWidth="1"/>
    <col min="152" max="152" width="14.5703125" bestFit="1" customWidth="1"/>
    <col min="153" max="153" width="16.42578125" bestFit="1" customWidth="1"/>
    <col min="154" max="154" width="15.85546875" bestFit="1" customWidth="1"/>
    <col min="155" max="155" width="15.42578125" bestFit="1" customWidth="1"/>
    <col min="156" max="156" width="14.85546875" bestFit="1" customWidth="1"/>
    <col min="157" max="157" width="16.7109375" bestFit="1" customWidth="1"/>
    <col min="158" max="158" width="16.140625" bestFit="1" customWidth="1"/>
    <col min="159" max="159" width="11.7109375" bestFit="1" customWidth="1"/>
    <col min="161" max="161" width="9.7109375" bestFit="1" customWidth="1"/>
    <col min="162" max="162" width="8" bestFit="1" customWidth="1"/>
    <col min="163" max="163" width="8" customWidth="1"/>
    <col min="164" max="164" width="29.42578125" bestFit="1" customWidth="1"/>
    <col min="165" max="165" width="15.140625" bestFit="1" customWidth="1"/>
    <col min="166" max="166" width="14.5703125" style="2" bestFit="1" customWidth="1"/>
    <col min="167" max="167" width="16.42578125" style="3" bestFit="1" customWidth="1"/>
    <col min="168" max="168" width="15.85546875" bestFit="1" customWidth="1"/>
    <col min="169" max="169" width="15.42578125" bestFit="1" customWidth="1"/>
    <col min="170" max="170" width="14.85546875" bestFit="1" customWidth="1"/>
    <col min="171" max="171" width="16.7109375" bestFit="1" customWidth="1"/>
    <col min="172" max="172" width="16.140625" bestFit="1" customWidth="1"/>
    <col min="173" max="173" width="11.7109375" bestFit="1" customWidth="1"/>
    <col min="174" max="174" width="11.140625" bestFit="1" customWidth="1"/>
    <col min="175" max="175" width="9.7109375" bestFit="1" customWidth="1"/>
    <col min="176" max="176" width="8" bestFit="1" customWidth="1"/>
    <col min="177" max="177" width="10" bestFit="1" customWidth="1"/>
    <col min="178" max="178" width="13.85546875" bestFit="1" customWidth="1"/>
    <col min="179" max="179" width="6.5703125" bestFit="1" customWidth="1"/>
    <col min="180" max="180" width="9" bestFit="1" customWidth="1"/>
    <col min="181" max="181" width="10.7109375" bestFit="1" customWidth="1"/>
    <col min="182" max="182" width="17.140625" customWidth="1"/>
    <col min="215" max="215" width="2.42578125" bestFit="1" customWidth="1"/>
    <col min="216" max="217" width="18.28515625" bestFit="1" customWidth="1"/>
  </cols>
  <sheetData>
    <row r="1" spans="1:183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1" t="s">
        <v>17</v>
      </c>
      <c r="T1" s="1" t="s">
        <v>18</v>
      </c>
      <c r="U1" s="1" t="s">
        <v>19</v>
      </c>
      <c r="V1" t="s">
        <v>20</v>
      </c>
      <c r="W1" t="s">
        <v>175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s="1" t="s">
        <v>30</v>
      </c>
      <c r="AH1" s="1" t="s">
        <v>31</v>
      </c>
      <c r="AI1" s="1" t="s">
        <v>32</v>
      </c>
      <c r="AJ1" t="s">
        <v>33</v>
      </c>
      <c r="AK1" s="1" t="s">
        <v>176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s="1" t="s">
        <v>43</v>
      </c>
      <c r="AV1" s="1" t="s">
        <v>44</v>
      </c>
      <c r="AW1" s="1" t="s">
        <v>45</v>
      </c>
      <c r="AX1" t="s">
        <v>46</v>
      </c>
      <c r="AY1" s="1" t="s">
        <v>177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s="1" t="s">
        <v>56</v>
      </c>
      <c r="BJ1" s="1" t="s">
        <v>57</v>
      </c>
      <c r="BK1" s="1" t="s">
        <v>58</v>
      </c>
      <c r="BL1" t="s">
        <v>59</v>
      </c>
      <c r="BM1" s="1" t="s">
        <v>178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s="1" t="s">
        <v>69</v>
      </c>
      <c r="BX1" s="1" t="s">
        <v>70</v>
      </c>
      <c r="BY1" s="1" t="s">
        <v>71</v>
      </c>
      <c r="BZ1" t="s">
        <v>72</v>
      </c>
      <c r="CA1" s="1" t="s">
        <v>179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s="1" t="s">
        <v>180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s="1" t="s">
        <v>181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s="1" t="s">
        <v>182</v>
      </c>
      <c r="DR1" t="s">
        <v>112</v>
      </c>
      <c r="DS1" t="s">
        <v>113</v>
      </c>
      <c r="DT1" t="s">
        <v>114</v>
      </c>
      <c r="DU1" t="s">
        <v>115</v>
      </c>
      <c r="DV1" t="s">
        <v>116</v>
      </c>
      <c r="DW1" t="s">
        <v>117</v>
      </c>
      <c r="DX1" t="s">
        <v>118</v>
      </c>
      <c r="DY1" t="s">
        <v>119</v>
      </c>
      <c r="DZ1" t="s">
        <v>120</v>
      </c>
      <c r="EA1" t="s">
        <v>121</v>
      </c>
      <c r="EB1" t="s">
        <v>122</v>
      </c>
      <c r="EC1" t="s">
        <v>123</v>
      </c>
      <c r="ED1" t="s">
        <v>124</v>
      </c>
      <c r="EE1" s="1" t="s">
        <v>183</v>
      </c>
      <c r="EF1" t="s">
        <v>125</v>
      </c>
      <c r="EG1" t="s">
        <v>126</v>
      </c>
      <c r="EH1" t="s">
        <v>127</v>
      </c>
      <c r="EI1" t="s">
        <v>128</v>
      </c>
      <c r="EJ1" t="s">
        <v>129</v>
      </c>
      <c r="EK1" t="s">
        <v>130</v>
      </c>
      <c r="EL1" t="s">
        <v>131</v>
      </c>
      <c r="EM1" t="s">
        <v>132</v>
      </c>
      <c r="EN1" t="s">
        <v>133</v>
      </c>
      <c r="EO1" t="s">
        <v>134</v>
      </c>
      <c r="EP1" t="s">
        <v>135</v>
      </c>
      <c r="EQ1" t="s">
        <v>136</v>
      </c>
      <c r="ER1" t="s">
        <v>137</v>
      </c>
      <c r="ES1" t="s">
        <v>184</v>
      </c>
      <c r="ET1" t="s">
        <v>138</v>
      </c>
      <c r="EU1" t="s">
        <v>139</v>
      </c>
      <c r="EV1" t="s">
        <v>140</v>
      </c>
      <c r="EW1" t="s">
        <v>141</v>
      </c>
      <c r="EX1" t="s">
        <v>142</v>
      </c>
      <c r="EY1" t="s">
        <v>143</v>
      </c>
      <c r="EZ1" t="s">
        <v>144</v>
      </c>
      <c r="FA1" t="s">
        <v>145</v>
      </c>
      <c r="FB1" t="s">
        <v>146</v>
      </c>
      <c r="FC1" t="s">
        <v>147</v>
      </c>
      <c r="FD1" t="s">
        <v>148</v>
      </c>
      <c r="FE1" t="s">
        <v>149</v>
      </c>
      <c r="FF1" t="s">
        <v>150</v>
      </c>
      <c r="FG1" t="s">
        <v>185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151</v>
      </c>
      <c r="FV1" t="s">
        <v>152</v>
      </c>
      <c r="FW1" s="2" t="s">
        <v>153</v>
      </c>
      <c r="FX1" s="3" t="s">
        <v>208</v>
      </c>
      <c r="FY1" t="s">
        <v>156</v>
      </c>
      <c r="FZ1" s="3" t="s">
        <v>209</v>
      </c>
      <c r="GA1" s="3" t="s">
        <v>211</v>
      </c>
    </row>
    <row r="2" spans="1:183" x14ac:dyDescent="0.25">
      <c r="A2" s="4" t="s">
        <v>173</v>
      </c>
      <c r="B2" s="4" t="s">
        <v>173</v>
      </c>
      <c r="C2" s="4" t="s">
        <v>173</v>
      </c>
      <c r="D2" s="4" t="s">
        <v>173</v>
      </c>
      <c r="E2" s="4" t="s">
        <v>173</v>
      </c>
      <c r="F2" s="5" t="s">
        <v>155</v>
      </c>
      <c r="G2" t="s">
        <v>157</v>
      </c>
      <c r="H2" t="s">
        <v>158</v>
      </c>
      <c r="I2" t="s">
        <v>187</v>
      </c>
      <c r="J2" t="s">
        <v>186</v>
      </c>
      <c r="K2">
        <v>25</v>
      </c>
      <c r="L2">
        <v>17</v>
      </c>
      <c r="M2" t="s">
        <v>154</v>
      </c>
      <c r="N2" t="s">
        <v>154</v>
      </c>
      <c r="O2">
        <v>75</v>
      </c>
      <c r="P2">
        <v>46</v>
      </c>
      <c r="Q2" t="s">
        <v>154</v>
      </c>
      <c r="R2" t="s">
        <v>154</v>
      </c>
      <c r="S2" s="1">
        <f t="shared" ref="S2" si="0">SUM(K2,M2,O2,Q2)</f>
        <v>100</v>
      </c>
      <c r="T2" s="1">
        <f t="shared" ref="T2" si="1">SUM(L2,N2,P2,R2)</f>
        <v>63</v>
      </c>
      <c r="U2" s="1" t="str">
        <f t="shared" ref="U2" si="2">IF(T2*100/S2&lt;50,"F",IF(T2*100/S2&lt;=59.99,"D",IF(T2*100/S2&lt;=69.99,"C",IF(T2*100/S2&lt;=79.99,"B",IF(T2*100/S2&lt;=89.99,"A",IF(T2*100/S2&lt;=100,"O",""))))))</f>
        <v>C</v>
      </c>
      <c r="V2">
        <v>4</v>
      </c>
      <c r="W2" t="s">
        <v>189</v>
      </c>
      <c r="X2" t="s">
        <v>188</v>
      </c>
      <c r="Y2">
        <v>25</v>
      </c>
      <c r="Z2">
        <v>10</v>
      </c>
      <c r="AA2" t="s">
        <v>154</v>
      </c>
      <c r="AB2" t="s">
        <v>154</v>
      </c>
      <c r="AC2">
        <v>75</v>
      </c>
      <c r="AD2">
        <v>40</v>
      </c>
      <c r="AE2" t="s">
        <v>154</v>
      </c>
      <c r="AF2" t="s">
        <v>154</v>
      </c>
      <c r="AG2" s="1">
        <f t="shared" ref="AG2" si="3">SUM(Y2,AA2,AC2,AE2)</f>
        <v>100</v>
      </c>
      <c r="AH2" s="1">
        <f t="shared" ref="AH2" si="4">SUM(Z2,AB2,AD2,AF2)</f>
        <v>50</v>
      </c>
      <c r="AI2" s="1" t="str">
        <f t="shared" ref="AI2" si="5">IF(AH2*100/AG2&lt;50,"F",IF(AH2*100/AG2&lt;=59.99,"D",IF(AH2*100/AG2&lt;=69.99,"C",IF(AH2*100/AG2&lt;=79.99,"B",IF(AH2*100/AG2&lt;=89.99,"A",IF(AH2*100/AG2&lt;=100,"O",""))))))</f>
        <v>D</v>
      </c>
      <c r="AJ2">
        <v>4</v>
      </c>
      <c r="AK2" t="s">
        <v>191</v>
      </c>
      <c r="AL2" t="s">
        <v>190</v>
      </c>
      <c r="AM2">
        <v>25</v>
      </c>
      <c r="AN2">
        <v>23</v>
      </c>
      <c r="AO2" t="s">
        <v>154</v>
      </c>
      <c r="AP2" t="s">
        <v>154</v>
      </c>
      <c r="AQ2">
        <v>75</v>
      </c>
      <c r="AR2">
        <v>60</v>
      </c>
      <c r="AS2" t="s">
        <v>154</v>
      </c>
      <c r="AT2" t="s">
        <v>154</v>
      </c>
      <c r="AU2" s="1">
        <f t="shared" ref="AU2" si="6">SUM(AM2,AO2,AQ2,AS2)</f>
        <v>100</v>
      </c>
      <c r="AV2" s="1">
        <f t="shared" ref="AV2" si="7">SUM(AN2,AP2,AR2,AT2)</f>
        <v>83</v>
      </c>
      <c r="AW2" s="1" t="str">
        <f t="shared" ref="AW2" si="8">IF(AV2*100/AU2&lt;50,"F",IF(AV2*100/AU2&lt;=59.99,"D",IF(AV2*100/AU2&lt;=69.99,"C",IF(AV2*100/AU2&lt;=79.99,"B",IF(AV2*100/AU2&lt;=89.99,"A",IF(AV2*100/AU2&lt;=100,"O",""))))))</f>
        <v>A</v>
      </c>
      <c r="AX2">
        <v>4</v>
      </c>
      <c r="AY2" t="s">
        <v>193</v>
      </c>
      <c r="AZ2" t="s">
        <v>192</v>
      </c>
      <c r="BA2">
        <v>25</v>
      </c>
      <c r="BB2">
        <v>18</v>
      </c>
      <c r="BC2" t="s">
        <v>154</v>
      </c>
      <c r="BD2" t="s">
        <v>154</v>
      </c>
      <c r="BE2">
        <v>75</v>
      </c>
      <c r="BF2">
        <v>38</v>
      </c>
      <c r="BG2" t="s">
        <v>154</v>
      </c>
      <c r="BH2" t="s">
        <v>154</v>
      </c>
      <c r="BI2" s="1">
        <f t="shared" ref="BI2" si="9">SUM(BA2,BC2,BE2,BG2)</f>
        <v>100</v>
      </c>
      <c r="BJ2" s="1">
        <f t="shared" ref="BJ2" si="10">SUM(BB2,BD2,BF2,BH2)</f>
        <v>56</v>
      </c>
      <c r="BK2" s="1" t="str">
        <f t="shared" ref="BK2" si="11">IF(BJ2*100/BI2&lt;50,"F",IF(BJ2*100/BI2&lt;=59.99,"D",IF(BJ2*100/BI2&lt;=69.99,"C",IF(BJ2*100/BI2&lt;=79.99,"B",IF(BJ2*100/BI2&lt;=89.99,"A",IF(BJ2*100/BI2&lt;=100,"O",""))))))</f>
        <v>D</v>
      </c>
      <c r="BL2">
        <v>4</v>
      </c>
      <c r="BM2" t="s">
        <v>195</v>
      </c>
      <c r="BN2" t="s">
        <v>194</v>
      </c>
      <c r="BO2">
        <v>15</v>
      </c>
      <c r="BP2">
        <v>4</v>
      </c>
      <c r="BQ2" t="s">
        <v>154</v>
      </c>
      <c r="BR2" t="s">
        <v>154</v>
      </c>
      <c r="BS2">
        <v>35</v>
      </c>
      <c r="BT2">
        <v>22</v>
      </c>
      <c r="BU2" t="s">
        <v>154</v>
      </c>
      <c r="BV2" t="s">
        <v>154</v>
      </c>
      <c r="BW2" s="1">
        <f t="shared" ref="BW2" si="12">SUM(BO2,BQ2,BS2,BU2)</f>
        <v>50</v>
      </c>
      <c r="BX2" s="1">
        <f t="shared" ref="BX2" si="13">SUM(BP2,BR2,BT2,BV2)</f>
        <v>26</v>
      </c>
      <c r="BY2" s="1" t="str">
        <f t="shared" ref="BY2" si="14">IF(BX2*100/BW2&lt;50,"F",IF(BX2*100/BW2&lt;=59.99,"D",IF(BX2*100/BW2&lt;=69.99,"C",IF(BX2*100/BW2&lt;=79.99,"B",IF(BX2*100/BW2&lt;=89.99,"A",IF(BX2*100/BW2&lt;=100,"O",""))))))</f>
        <v>D</v>
      </c>
      <c r="BZ2">
        <v>2</v>
      </c>
      <c r="CA2" t="s">
        <v>197</v>
      </c>
      <c r="CB2" t="s">
        <v>196</v>
      </c>
      <c r="CC2">
        <v>15</v>
      </c>
      <c r="CD2">
        <v>8</v>
      </c>
      <c r="CE2" t="s">
        <v>154</v>
      </c>
      <c r="CF2" t="s">
        <v>154</v>
      </c>
      <c r="CG2">
        <v>35</v>
      </c>
      <c r="CH2">
        <v>23</v>
      </c>
      <c r="CI2" t="s">
        <v>154</v>
      </c>
      <c r="CJ2" t="s">
        <v>154</v>
      </c>
      <c r="CK2" s="1">
        <f t="shared" ref="CK2" si="15">SUM(CC2,CE2,CG2,CI2)</f>
        <v>50</v>
      </c>
      <c r="CL2" s="1">
        <f t="shared" ref="CL2" si="16">SUM(CD2,CF2,CH2,CJ2)</f>
        <v>31</v>
      </c>
      <c r="CM2" s="1" t="str">
        <f t="shared" ref="CM2" si="17">IF(CL2*100/CK2&lt;50,"F",IF(CL2*100/CK2&lt;=59.99,"D",IF(CL2*100/CK2&lt;=69.99,"C",IF(CL2*100/CK2&lt;=79.99,"B",IF(CL2*100/CK2&lt;=89.99,"A",IF(CL2*100/CK2&lt;=100,"O",""))))))</f>
        <v>C</v>
      </c>
      <c r="CN2">
        <v>2</v>
      </c>
      <c r="CO2" t="s">
        <v>199</v>
      </c>
      <c r="CP2" t="s">
        <v>198</v>
      </c>
      <c r="CQ2" t="s">
        <v>154</v>
      </c>
      <c r="CR2" t="s">
        <v>154</v>
      </c>
      <c r="CS2">
        <v>15</v>
      </c>
      <c r="CT2">
        <v>12</v>
      </c>
      <c r="CU2" t="s">
        <v>154</v>
      </c>
      <c r="CV2" t="s">
        <v>154</v>
      </c>
      <c r="CW2">
        <v>35</v>
      </c>
      <c r="CX2">
        <v>30</v>
      </c>
      <c r="CY2" s="1">
        <f t="shared" ref="CY2" si="18">SUM(CQ2,CS2,CU2,CW2)</f>
        <v>50</v>
      </c>
      <c r="CZ2" s="1">
        <f t="shared" ref="CZ2" si="19">SUM(CR2,CT2,CV2,CX2)</f>
        <v>42</v>
      </c>
      <c r="DA2" s="1" t="str">
        <f t="shared" ref="DA2" si="20">IF(CZ2*100/CY2&lt;50,"F",IF(CZ2*100/CY2&lt;=59.99,"D",IF(CZ2*100/CY2&lt;=69.99,"C",IF(CZ2*100/CY2&lt;=79.99,"B",IF(CZ2*100/CY2&lt;=89.99,"A",IF(CZ2*100/CY2&lt;=100,"O",""))))))</f>
        <v>A</v>
      </c>
      <c r="DB2">
        <v>2</v>
      </c>
      <c r="DC2" t="s">
        <v>201</v>
      </c>
      <c r="DD2" t="s">
        <v>200</v>
      </c>
      <c r="DE2" t="s">
        <v>154</v>
      </c>
      <c r="DF2" t="s">
        <v>154</v>
      </c>
      <c r="DG2">
        <v>15</v>
      </c>
      <c r="DH2">
        <v>12</v>
      </c>
      <c r="DI2" t="s">
        <v>154</v>
      </c>
      <c r="DJ2" t="s">
        <v>154</v>
      </c>
      <c r="DK2">
        <v>35</v>
      </c>
      <c r="DL2">
        <v>24</v>
      </c>
      <c r="DM2" s="1">
        <f t="shared" ref="DM2" si="21">SUM(DE2,DG2,DI2,DK2)</f>
        <v>50</v>
      </c>
      <c r="DN2" s="1">
        <f t="shared" ref="DN2" si="22">SUM(DF2,DH2,DJ2,DL2)</f>
        <v>36</v>
      </c>
      <c r="DO2" s="1" t="str">
        <f t="shared" ref="DO2" si="23">IF(DN2*100/DM2&lt;50,"F",IF(DN2*100/DM2&lt;=59.99,"D",IF(DN2*100/DM2&lt;=69.99,"C",IF(DN2*100/DM2&lt;=79.99,"B",IF(DN2*100/DM2&lt;=89.99,"A",IF(DN2*100/DM2&lt;=100,"O",""))))))</f>
        <v>B</v>
      </c>
      <c r="DP2">
        <v>2</v>
      </c>
      <c r="DQ2" t="s">
        <v>203</v>
      </c>
      <c r="DR2" t="s">
        <v>202</v>
      </c>
      <c r="DS2" t="s">
        <v>154</v>
      </c>
      <c r="DT2" t="s">
        <v>154</v>
      </c>
      <c r="DU2">
        <v>15</v>
      </c>
      <c r="DV2">
        <v>13</v>
      </c>
      <c r="DW2" t="s">
        <v>154</v>
      </c>
      <c r="DX2" t="s">
        <v>154</v>
      </c>
      <c r="DY2">
        <v>35</v>
      </c>
      <c r="DZ2">
        <v>33</v>
      </c>
      <c r="EA2" s="1">
        <f t="shared" ref="EA2" si="24">SUM(DS2,DU2,DW2,DY2)</f>
        <v>50</v>
      </c>
      <c r="EB2" s="1">
        <f t="shared" ref="EB2" si="25">SUM(DT2,DV2,DX2,DZ2)</f>
        <v>46</v>
      </c>
      <c r="EC2" s="1" t="str">
        <f t="shared" ref="EC2" si="26">IF(EB2*100/EA2&lt;50,"F",IF(EB2*100/EA2&lt;=59.99,"D",IF(EB2*100/EA2&lt;=69.99,"C",IF(EB2*100/EA2&lt;=79.99,"B",IF(EB2*100/EA2&lt;=89.99,"A",IF(EB2*100/EA2&lt;=100,"O",""))))))</f>
        <v>O</v>
      </c>
      <c r="ED2">
        <v>2</v>
      </c>
      <c r="EE2" t="s">
        <v>204</v>
      </c>
      <c r="EF2" t="s">
        <v>192</v>
      </c>
      <c r="EG2" t="s">
        <v>154</v>
      </c>
      <c r="EH2" t="s">
        <v>154</v>
      </c>
      <c r="EI2">
        <v>15</v>
      </c>
      <c r="EJ2">
        <v>11</v>
      </c>
      <c r="EK2" t="s">
        <v>154</v>
      </c>
      <c r="EL2" t="s">
        <v>154</v>
      </c>
      <c r="EM2">
        <v>35</v>
      </c>
      <c r="EN2">
        <v>30</v>
      </c>
      <c r="EO2" s="1">
        <f t="shared" ref="EO2" si="27">SUM(EG2,EI2,EK2,EM2)</f>
        <v>50</v>
      </c>
      <c r="EP2" s="1">
        <f t="shared" ref="EP2" si="28">SUM(EH2,EJ2,EL2,EN2)</f>
        <v>41</v>
      </c>
      <c r="EQ2" s="1" t="str">
        <f t="shared" ref="EQ2" si="29">IF(EP2*100/EO2&lt;50,"F",IF(EP2*100/EO2&lt;=59.99,"D",IF(EP2*100/EO2&lt;=69.99,"C",IF(EP2*100/EO2&lt;=79.99,"B",IF(EP2*100/EO2&lt;=89.99,"A",IF(EP2*100/EO2&lt;=100,"O",""))))))</f>
        <v>A</v>
      </c>
      <c r="ER2">
        <v>2</v>
      </c>
      <c r="ES2" t="s">
        <v>206</v>
      </c>
      <c r="ET2" t="s">
        <v>205</v>
      </c>
      <c r="EU2" t="s">
        <v>154</v>
      </c>
      <c r="EV2" t="s">
        <v>154</v>
      </c>
      <c r="EW2">
        <v>10</v>
      </c>
      <c r="EX2">
        <v>8</v>
      </c>
      <c r="EY2" t="s">
        <v>154</v>
      </c>
      <c r="EZ2" t="s">
        <v>154</v>
      </c>
      <c r="FA2">
        <v>15</v>
      </c>
      <c r="FB2">
        <v>12</v>
      </c>
      <c r="FC2" s="1">
        <f t="shared" ref="FC2" si="30">SUM(EU2,EW2,EY2,FA2)</f>
        <v>25</v>
      </c>
      <c r="FD2" s="1">
        <f t="shared" ref="FD2" si="31">SUM(EV2,EX2,EZ2,FB2)</f>
        <v>20</v>
      </c>
      <c r="FE2" s="1" t="str">
        <f t="shared" ref="FE2" si="32">IF(FD2*100/FC2&lt;50,"F",IF(FD2*100/FC2&lt;=59.99,"D",IF(FD2*100/FC2&lt;=69.99,"C",IF(FD2*100/FC2&lt;=79.99,"B",IF(FD2*100/FC2&lt;=89.99,"A",IF(FD2*100/FC2&lt;=100,"O",""))))))</f>
        <v>A</v>
      </c>
      <c r="FF2">
        <v>1</v>
      </c>
      <c r="FG2" t="s">
        <v>207</v>
      </c>
      <c r="FH2" t="s">
        <v>196</v>
      </c>
      <c r="FI2" t="s">
        <v>154</v>
      </c>
      <c r="FJ2" t="s">
        <v>154</v>
      </c>
      <c r="FK2">
        <v>10</v>
      </c>
      <c r="FL2">
        <v>8</v>
      </c>
      <c r="FM2" t="s">
        <v>154</v>
      </c>
      <c r="FN2" t="s">
        <v>154</v>
      </c>
      <c r="FO2">
        <v>15</v>
      </c>
      <c r="FP2">
        <v>12</v>
      </c>
      <c r="FQ2" s="1">
        <f t="shared" ref="FQ2" si="33">SUM(FI2,FK2,FM2,FO2)</f>
        <v>25</v>
      </c>
      <c r="FR2" s="1">
        <f t="shared" ref="FR2" si="34">SUM(FJ2,FL2,FN2,FP2)</f>
        <v>20</v>
      </c>
      <c r="FS2" s="1" t="str">
        <f t="shared" ref="FS2" si="35">IF(FR2*100/FQ2&lt;50,"F",IF(FR2*100/FQ2&lt;=59.99,"D",IF(FR2*100/FQ2&lt;=69.99,"C",IF(FR2*100/FQ2&lt;=79.99,"B",IF(FR2*100/FQ2&lt;=89.99,"A",IF(FR2*100/FQ2&lt;=100,"O",""))))))</f>
        <v>A</v>
      </c>
      <c r="FT2">
        <v>1</v>
      </c>
      <c r="FU2">
        <v>725</v>
      </c>
      <c r="FV2">
        <v>519</v>
      </c>
      <c r="FW2" s="2">
        <v>7.5517241379310347</v>
      </c>
      <c r="FX2" s="3" t="s">
        <v>172</v>
      </c>
      <c r="FY2">
        <v>29</v>
      </c>
      <c r="FZ2" t="s">
        <v>210</v>
      </c>
      <c r="GA2" s="3" t="s">
        <v>212</v>
      </c>
    </row>
  </sheetData>
  <sortState xmlns:xlrd2="http://schemas.microsoft.com/office/spreadsheetml/2017/richdata2" ref="AD24:IF27">
    <sortCondition ref="AM24:AM27"/>
  </sortState>
  <conditionalFormatting sqref="A1">
    <cfRule type="duplicateValues" dxfId="1" priority="2149"/>
  </conditionalFormatting>
  <conditionalFormatting sqref="B1">
    <cfRule type="duplicateValues" dxfId="0" priority="215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2023-03-21T11:36:52Z</dcterms:modified>
</cp:coreProperties>
</file>