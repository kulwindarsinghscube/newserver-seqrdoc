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cube\seqr-doc\monad\sample_excel\"/>
    </mc:Choice>
  </mc:AlternateContent>
  <xr:revisionPtr revIDLastSave="0" documentId="13_ncr:1_{B0462621-399C-41DA-8056-7C396252F1E3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sheeet" sheetId="1" r:id="rId1"/>
  </sheets>
  <definedNames>
    <definedName name="_xlnm._FilterDatabase" localSheetId="0" hidden="1">sheeet!$F$1:$G$1</definedName>
  </definedNames>
  <calcPr calcId="181029"/>
</workbook>
</file>

<file path=xl/calcChain.xml><?xml version="1.0" encoding="utf-8"?>
<calcChain xmlns="http://schemas.openxmlformats.org/spreadsheetml/2006/main">
  <c r="EN2" i="1" l="1"/>
  <c r="EM2" i="1"/>
  <c r="EL2" i="1"/>
</calcChain>
</file>

<file path=xl/sharedStrings.xml><?xml version="1.0" encoding="utf-8"?>
<sst xmlns="http://schemas.openxmlformats.org/spreadsheetml/2006/main" count="209" uniqueCount="169">
  <si>
    <t>PASS</t>
  </si>
  <si>
    <t>SerialNo</t>
  </si>
  <si>
    <t>EnrollmentNo</t>
  </si>
  <si>
    <t>RollNo</t>
  </si>
  <si>
    <t>CandidateName</t>
  </si>
  <si>
    <t>FatherName</t>
  </si>
  <si>
    <t>CourseName</t>
  </si>
  <si>
    <t>YearSem</t>
  </si>
  <si>
    <t>Session</t>
  </si>
  <si>
    <t>Subject1</t>
  </si>
  <si>
    <t>IntTheorymm1</t>
  </si>
  <si>
    <t>IntTheorymo1</t>
  </si>
  <si>
    <t>IntPracticalmm1</t>
  </si>
  <si>
    <t>IntPracticalmo1</t>
  </si>
  <si>
    <t>ExtTheorymm1</t>
  </si>
  <si>
    <t>ExtTheorymo1</t>
  </si>
  <si>
    <t>ExtPracticalmm1</t>
  </si>
  <si>
    <t>ExtPracticalmo1</t>
  </si>
  <si>
    <t>Grandmm1</t>
  </si>
  <si>
    <t>Grandmo1</t>
  </si>
  <si>
    <t>Subject2</t>
  </si>
  <si>
    <t>IntTheorymm2</t>
  </si>
  <si>
    <t>IntTheorymo2</t>
  </si>
  <si>
    <t>IntPracticalmm2</t>
  </si>
  <si>
    <t>IntPracticalmo2</t>
  </si>
  <si>
    <t>ExtTheorymm2</t>
  </si>
  <si>
    <t>ExtTheorymo2</t>
  </si>
  <si>
    <t>ExtPracticalmm2</t>
  </si>
  <si>
    <t>ExtPracticalmo2</t>
  </si>
  <si>
    <t>Grandmm2</t>
  </si>
  <si>
    <t>Grandmo2</t>
  </si>
  <si>
    <t>Subject3</t>
  </si>
  <si>
    <t>IntTheorymm3</t>
  </si>
  <si>
    <t>IntTheorymo3</t>
  </si>
  <si>
    <t>IntPracticalmm3</t>
  </si>
  <si>
    <t>IntPracticalmo3</t>
  </si>
  <si>
    <t>ExtTheorymm3</t>
  </si>
  <si>
    <t>ExtTheorymo3</t>
  </si>
  <si>
    <t>ExtPracticalmm3</t>
  </si>
  <si>
    <t>ExtPracticalmo3</t>
  </si>
  <si>
    <t>Grandmm3</t>
  </si>
  <si>
    <t>Grandmo3</t>
  </si>
  <si>
    <t>Subject4</t>
  </si>
  <si>
    <t>IntTheorymm4</t>
  </si>
  <si>
    <t>IntTheorymo4</t>
  </si>
  <si>
    <t>IntPracticalmm4</t>
  </si>
  <si>
    <t>IntPracticalmo4</t>
  </si>
  <si>
    <t>ExtTheorymm4</t>
  </si>
  <si>
    <t>ExtTheorymo4</t>
  </si>
  <si>
    <t>ExtPracticalmm4</t>
  </si>
  <si>
    <t>ExtPracticalmo4</t>
  </si>
  <si>
    <t>Grandmm4</t>
  </si>
  <si>
    <t>Grandmo4</t>
  </si>
  <si>
    <t>Subject5</t>
  </si>
  <si>
    <t>IntTheorymm5</t>
  </si>
  <si>
    <t>IntTheorymo5</t>
  </si>
  <si>
    <t>IntPracticalmm5</t>
  </si>
  <si>
    <t>IntPracticalmo5</t>
  </si>
  <si>
    <t>ExtTheorymm5</t>
  </si>
  <si>
    <t>ExtTheorymo5</t>
  </si>
  <si>
    <t>ExtPracticalmm5</t>
  </si>
  <si>
    <t>ExtPracticalmo5</t>
  </si>
  <si>
    <t>Grandmm5</t>
  </si>
  <si>
    <t>Grandmo5</t>
  </si>
  <si>
    <t>Subject6</t>
  </si>
  <si>
    <t>IntTheorymm6</t>
  </si>
  <si>
    <t>IntTheorymo6</t>
  </si>
  <si>
    <t>IntPracticalmm6</t>
  </si>
  <si>
    <t>IntPracticalmo6</t>
  </si>
  <si>
    <t>ExtTheorymm6</t>
  </si>
  <si>
    <t>ExtTheorymo6</t>
  </si>
  <si>
    <t>ExtPracticalmm6</t>
  </si>
  <si>
    <t>ExtPracticalmo6</t>
  </si>
  <si>
    <t>Grandmm6</t>
  </si>
  <si>
    <t>Grandmo6</t>
  </si>
  <si>
    <t>Subject7</t>
  </si>
  <si>
    <t>IntTheorymm7</t>
  </si>
  <si>
    <t>IntTheorymo7</t>
  </si>
  <si>
    <t>IntPracticalmm7</t>
  </si>
  <si>
    <t>IntPracticalmo7</t>
  </si>
  <si>
    <t>ExtTheorymm7</t>
  </si>
  <si>
    <t>ExtTheorymo7</t>
  </si>
  <si>
    <t>ExtPracticalmm7</t>
  </si>
  <si>
    <t>ExtPracticalmo7</t>
  </si>
  <si>
    <t>Grandmm7</t>
  </si>
  <si>
    <t>Grandmo7</t>
  </si>
  <si>
    <t>Subject8</t>
  </si>
  <si>
    <t>IntTheorymm8</t>
  </si>
  <si>
    <t>IntTheorymo8</t>
  </si>
  <si>
    <t>IntPracticalmm8</t>
  </si>
  <si>
    <t>IntPracticalmo8</t>
  </si>
  <si>
    <t>ExtTheorymm8</t>
  </si>
  <si>
    <t>ExtTheorymo8</t>
  </si>
  <si>
    <t>ExtPracticalmm8</t>
  </si>
  <si>
    <t>ExtPracticalmo8</t>
  </si>
  <si>
    <t>Grandmm8</t>
  </si>
  <si>
    <t>Grandmo8</t>
  </si>
  <si>
    <t>Subject9</t>
  </si>
  <si>
    <t>IntTheorymm9</t>
  </si>
  <si>
    <t>IntTheorymo9</t>
  </si>
  <si>
    <t>IntPracticalmm9</t>
  </si>
  <si>
    <t>IntPracticalmo9</t>
  </si>
  <si>
    <t>ExtTheorymm9</t>
  </si>
  <si>
    <t>ExtTheorymo9</t>
  </si>
  <si>
    <t>ExtPracticalmm9</t>
  </si>
  <si>
    <t>ExtPracticalmo9</t>
  </si>
  <si>
    <t>Grandmm9</t>
  </si>
  <si>
    <t>Grandmo9</t>
  </si>
  <si>
    <t>Subject10</t>
  </si>
  <si>
    <t>IntTheorymm10</t>
  </si>
  <si>
    <t>IntTheorymo10</t>
  </si>
  <si>
    <t>IntPracticalmm10</t>
  </si>
  <si>
    <t>IntPracticalmo10</t>
  </si>
  <si>
    <t>ExtTheorymm10</t>
  </si>
  <si>
    <t>ExtTheorymo10</t>
  </si>
  <si>
    <t>ExtPracticalmm10</t>
  </si>
  <si>
    <t>ExtPracticalmo10</t>
  </si>
  <si>
    <t>Grandmm10</t>
  </si>
  <si>
    <t>Grandmo10</t>
  </si>
  <si>
    <t>totalMarksObt</t>
  </si>
  <si>
    <t>MaxMarks</t>
  </si>
  <si>
    <t>Result</t>
  </si>
  <si>
    <t>Remark1</t>
  </si>
  <si>
    <t>Remark2</t>
  </si>
  <si>
    <t>Remark3</t>
  </si>
  <si>
    <t>Remark4</t>
  </si>
  <si>
    <t>Remark5</t>
  </si>
  <si>
    <t>Remark6</t>
  </si>
  <si>
    <t>Remark7</t>
  </si>
  <si>
    <t>Remark8</t>
  </si>
  <si>
    <t>Remark9</t>
  </si>
  <si>
    <t>Remark10</t>
  </si>
  <si>
    <t>Subject11</t>
  </si>
  <si>
    <t>IntTheorymm11</t>
  </si>
  <si>
    <t>IntTheorymo11</t>
  </si>
  <si>
    <t>IntPracticalmm11</t>
  </si>
  <si>
    <t>IntPracticalmo11</t>
  </si>
  <si>
    <t>ExtTheorymm11</t>
  </si>
  <si>
    <t>ExtTheorymo11</t>
  </si>
  <si>
    <t>ExtPracticalmm11</t>
  </si>
  <si>
    <t>ExtPracticalmo11</t>
  </si>
  <si>
    <t>Grandmm11</t>
  </si>
  <si>
    <t>Grandmo11</t>
  </si>
  <si>
    <t>Remark11</t>
  </si>
  <si>
    <t>__</t>
  </si>
  <si>
    <t>YEAR 1</t>
  </si>
  <si>
    <t>ob. In thry</t>
  </si>
  <si>
    <t>ob. In Prac.</t>
  </si>
  <si>
    <t>M in thry</t>
  </si>
  <si>
    <t>m in prac.</t>
  </si>
  <si>
    <t>B.Ed.</t>
  </si>
  <si>
    <t>Photo</t>
  </si>
  <si>
    <t>NITEESH KUMAR</t>
  </si>
  <si>
    <t>BHAGWAN SINGH</t>
  </si>
  <si>
    <t>2020-2021</t>
  </si>
  <si>
    <t>[BED-111] Contemporary India and Education</t>
  </si>
  <si>
    <t>P</t>
  </si>
  <si>
    <t>[BED-112] Philosophical and Sociological Perspectives of Education</t>
  </si>
  <si>
    <t>[BED-113] Growing up as a Learner</t>
  </si>
  <si>
    <t>[BED-114] Teacher, Teaching and Technology</t>
  </si>
  <si>
    <t>[BED-119] Pedagogy of Mathematics</t>
  </si>
  <si>
    <t xml:space="preserve">[BED-1110] Pedagogy of Physical Science </t>
  </si>
  <si>
    <t>[BED-P-1115] Workshop</t>
  </si>
  <si>
    <t>[BED-P-1118] Pupil Teacher Training for development of skills</t>
  </si>
  <si>
    <t>Date</t>
  </si>
  <si>
    <t>Sept-2019</t>
  </si>
  <si>
    <t>Date of Issue</t>
  </si>
  <si>
    <t>21-03-2023</t>
  </si>
  <si>
    <t>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</si>
</sst>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8"/>
      <color theme="3"/>
      <name val="Cambria"/>
      <family val="2"/>
      <scheme val="major"/>
    </font>
    <font>
      <sz val="11"/>
      <name val="Calibri"/>
      <family val="2"/>
    </font>
    <font>
      <sz val="9"/>
      <color theme="1"/>
      <name val="Arial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6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/>
    <xf numFmtId="0" fontId="20" fillId="0" borderId="0"/>
    <xf numFmtId="0" fontId="21" fillId="0" borderId="0"/>
    <xf numFmtId="0" fontId="19" fillId="0" borderId="0"/>
    <xf numFmtId="0" fontId="20" fillId="0" borderId="0"/>
    <xf numFmtId="0" fontId="19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1" fontId="0" fillId="0" borderId="0" xfId="0" applyNumberFormat="1"/>
    <xf numFmtId="49" fontId="0" fillId="0" borderId="0" xfId="0" applyNumberFormat="1" applyAlignment="1">
      <alignment horizontal="left"/>
    </xf>
    <xf numFmtId="1" fontId="0" fillId="33" borderId="0" xfId="0" applyNumberFormat="1" applyFill="1"/>
  </cellXfs>
  <cellStyles count="50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rmal 2" xfId="44" xr:uid="{00000000-0005-0000-0000-000025000000}"/>
    <cellStyle name="Normal 2 2" xfId="45" xr:uid="{00000000-0005-0000-0000-000026000000}"/>
    <cellStyle name="Normal 2 2 2" xfId="46" xr:uid="{00000000-0005-0000-0000-000027000000}"/>
    <cellStyle name="Normal 2 3" xfId="47" xr:uid="{00000000-0005-0000-0000-000028000000}"/>
    <cellStyle name="Normal 2 3 2" xfId="48" xr:uid="{00000000-0005-0000-0000-000029000000}"/>
    <cellStyle name="Normal 5" xfId="49" xr:uid="{00000000-0005-0000-0000-00002A000000}"/>
    <cellStyle name="Note" xfId="14" builtinId="10" customBuiltin="1"/>
    <cellStyle name="Output" xfId="9" builtinId="21" customBuiltin="1"/>
    <cellStyle name="Title" xfId="43" builtinId="15" customBuiltin="1"/>
    <cellStyle name="Title 2" xfId="41" xr:uid="{00000000-0005-0000-0000-00002E000000}"/>
    <cellStyle name="Title 3" xfId="42" xr:uid="{00000000-0005-0000-0000-00002F000000}"/>
    <cellStyle name="Total" xfId="16" builtinId="25" customBuiltin="1"/>
    <cellStyle name="Warning Text" xfId="1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54</xdr:col>
      <xdr:colOff>0</xdr:colOff>
      <xdr:row>1</xdr:row>
      <xdr:rowOff>0</xdr:rowOff>
    </xdr:from>
    <xdr:ext cx="914400" cy="228600"/>
    <xdr:pic>
      <xdr:nvPicPr>
        <xdr:cNvPr id="2" name="Picture 19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12225" y="144208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3" name="Picture 28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12225" y="144208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4" name="Picture 19" hidden="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12225" y="146113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5" name="Picture 28" hidden="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12225" y="146113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6" name="Picture 19" hidden="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2286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7" name="Picture 28" hidden="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2286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8" name="Picture 19" hidden="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2476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9" name="Picture 28" hidden="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2476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0" name="Picture 19" hidden="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4762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1" name="Picture 28" hidden="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4762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2" name="Picture 19" hidden="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4762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3" name="Picture 28" hidden="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4762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4" name="Picture 19" hidden="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4572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5" name="Picture 28" hidden="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4572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6" name="Picture 19" hidden="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4762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7" name="Picture 28" hidden="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4762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8" name="Picture 19" hidden="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2592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9" name="Picture 28" hidden="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2592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20" name="Picture 19" hidden="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00869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21" name="Picture 28" hidden="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00869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22" name="Picture 19" hidden="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306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23" name="Picture 28" hidden="1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306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24" name="Picture 23" hidden="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497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25" name="Picture 28" hidden="1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497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26" name="Picture 19" hidden="1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2592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27" name="Picture 28" hidden="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2592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28" name="Picture 19" hidden="1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2782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29" name="Picture 28" hidden="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2782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32" name="Picture 31" hidden="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497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33" name="Picture 28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497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34" name="Picture 19" hidden="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497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35" name="Picture 28" hidden="1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497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36" name="Picture 19" hidden="1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306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37" name="Picture 28" hidden="1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306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38" name="Picture 37" hidden="1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497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39" name="Picture 28" hidden="1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497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40" name="Picture 19" hidden="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497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41" name="Picture 28" hidden="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497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42" name="Picture 19" hidden="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306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43" name="Picture 28" hidden="1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306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44" name="Picture 43" hidden="1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497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45" name="Picture 28" hidden="1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497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46" name="Picture 19" hidden="1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497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47" name="Picture 28" hidden="1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497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48" name="Picture 19" hidden="1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5068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49" name="Picture 48" hidden="1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5068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50" name="Picture 19" hidden="1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4762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51" name="Picture 28" hidden="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4762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52" name="Picture 19" hidden="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00869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53" name="Picture 28" hidden="1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00869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54" name="Picture 19" hidden="1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02774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55" name="Picture 28" hidden="1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02774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56" name="Picture 55" hidden="1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6021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57" name="Picture 28" hidden="1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6021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58" name="Picture 19" hidden="1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6021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59" name="Picture 28" hidden="1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6021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60" name="Picture 19" hidden="1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6021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61" name="Picture 60" hidden="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6021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62" name="Picture 61" hidden="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497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63" name="Picture 28" hidden="1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497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64" name="Picture 19" hidden="1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497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65" name="Picture 28" hidden="1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497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66" name="Picture 65" hidden="1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687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67" name="Picture 28" hidden="1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64775" y="14687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68" name="Picture 19" hidden="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490025" y="762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69" name="Picture 28" hidden="1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490025" y="762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70" name="Picture 19" hidden="1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51225" y="14878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71" name="Picture 28" hidden="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51225" y="14878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72" name="Picture 19" hidden="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51225" y="15068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73" name="Picture 72" hidden="1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51225" y="15068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74" name="Picture 19" hidden="1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3450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75" name="Picture 74" hidden="1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3450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76" name="Picture 19" hidden="1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3450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77" name="Picture 76" hidden="1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3450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78" name="Picture 19" hidden="1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3641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79" name="Picture 78" hidden="1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3641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80" name="Picture 19" hidden="1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3450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81" name="Picture 80" hidden="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3450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82" name="Picture 19" hidden="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3641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83" name="Picture 82" hidden="1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3641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84" name="Picture 19" hidden="1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286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85" name="Picture 28" hidden="1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286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86" name="Picture 19" hidden="1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4593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87" name="Picture 28" hidden="1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4593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88" name="Picture 19" hidden="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476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89" name="Picture 28" hidden="1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476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90" name="Picture 19" hidden="1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333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91" name="Picture 28" hidden="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333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92" name="Picture 19" hidden="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333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93" name="Picture 28" hidden="1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333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94" name="Picture 19" hidden="1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361854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95" name="Picture 28" hidden="1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361854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96" name="Picture 19" hidden="1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20909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97" name="Picture 28" hidden="1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20909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98" name="Picture 19" hidden="1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2592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99" name="Picture 28" hidden="1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2592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00" name="Picture 19" hidden="1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2782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01" name="Picture 28" hidden="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2782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02" name="Picture 19" hidden="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6592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03" name="Picture 28" hidden="1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6592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04" name="Picture 19" hidden="1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6783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05" name="Picture 28" hidden="1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6783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06" name="Picture 19" hidden="1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367569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07" name="Picture 28" hidden="1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367569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08" name="Picture 19" hidden="1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38054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09" name="Picture 28" hidden="1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38054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10" name="Picture 19" hidden="1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32339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11" name="Picture 28" hidden="1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32339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12" name="Picture 19" hidden="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34244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13" name="Picture 28" hidden="1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34244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14" name="Picture 19" hidden="1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26624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15" name="Picture 28" hidden="1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26624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16" name="Picture 19" hidden="1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26624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17" name="Picture 28" hidden="1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26624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18" name="Picture 19" hidden="1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28529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19" name="Picture 28" hidden="1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28529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20" name="Picture 19" hidden="1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26624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21" name="Picture 28" hidden="1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26624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22" name="Picture 19" hidden="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26624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23" name="Picture 28" hidden="1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26624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24" name="Picture 19" hidden="1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28529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25" name="Picture 28" hidden="1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42852975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26" name="Picture 19" hidden="1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53168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27" name="Picture 28" hidden="1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53168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28" name="Picture 19" hidden="1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53168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29" name="Picture 28" hidden="1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53168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30" name="Picture 19" hidden="1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53359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31" name="Picture 28" hidden="1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53359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32" name="Picture 19" hidden="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381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33" name="Picture 28" hidden="1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381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34" name="Picture 19" hidden="1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381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35" name="Picture 28" hidden="1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381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36" name="Picture 19" hidden="1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381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37" name="Picture 28" hidden="1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381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38" name="Picture 19" hidden="1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381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39" name="Picture 28" hidden="1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381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40" name="Picture 19" hidden="1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381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41" name="Picture 28" hidden="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381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42" name="Picture 19" hidden="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381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43" name="Picture 28" hidden="1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381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44" name="Picture 19" hidden="1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6783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45" name="Picture 28" hidden="1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6783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46" name="Picture 19" hidden="1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6973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47" name="Picture 28" hidden="1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6973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48" name="Picture 147" hidden="1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6973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49" name="Picture 28" hidden="1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6973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50" name="Picture 19" hidden="1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6973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51" name="Picture 28" hidden="1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6973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52" name="Picture 19" hidden="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6973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53" name="Picture 152" hidden="1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6973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54" name="Picture 19" hidden="1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286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55" name="Picture 28" hidden="1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286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56" name="Picture 19" hidden="1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476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57" name="Picture 28" hidden="1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2476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62" name="Picture 19" hidden="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53740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63" name="Picture 28" hidden="1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537400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64" name="Picture 19" hidden="1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53930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65" name="Picture 28" hidden="1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53930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60" name="Picture 19" hidden="1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4306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54</xdr:col>
      <xdr:colOff>0</xdr:colOff>
      <xdr:row>1</xdr:row>
      <xdr:rowOff>0</xdr:rowOff>
    </xdr:from>
    <xdr:ext cx="914400" cy="228600"/>
    <xdr:pic>
      <xdr:nvPicPr>
        <xdr:cNvPr id="161" name="Picture 28" hidden="1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0" y="143065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T2"/>
  <sheetViews>
    <sheetView tabSelected="1" topLeftCell="EH1" zoomScaleNormal="100" workbookViewId="0">
      <selection activeCell="ES3" sqref="ES3"/>
    </sheetView>
  </sheetViews>
  <sheetFormatPr defaultRowHeight="15" x14ac:dyDescent="0.25"/>
  <cols>
    <col min="1" max="1" width="12" style="4" bestFit="1" customWidth="1"/>
    <col min="2" max="2" width="13.5703125" style="3" bestFit="1" customWidth="1"/>
    <col min="3" max="3" width="11" style="3" bestFit="1" customWidth="1"/>
    <col min="4" max="4" width="26" style="2" bestFit="1" customWidth="1"/>
    <col min="5" max="5" width="24.28515625" style="2" bestFit="1" customWidth="1"/>
    <col min="6" max="6" width="12.42578125" style="2" bestFit="1" customWidth="1"/>
    <col min="7" max="7" width="8.7109375" style="2" bestFit="1" customWidth="1"/>
    <col min="8" max="8" width="9.7109375" style="2" bestFit="1" customWidth="1"/>
    <col min="9" max="9" width="42.28515625" style="2" bestFit="1" customWidth="1"/>
    <col min="10" max="10" width="14.140625" style="2" bestFit="1" customWidth="1"/>
    <col min="11" max="11" width="13.5703125" style="2" bestFit="1" customWidth="1"/>
    <col min="12" max="12" width="15.42578125" style="2" bestFit="1" customWidth="1"/>
    <col min="13" max="13" width="14.85546875" style="2" bestFit="1" customWidth="1"/>
    <col min="14" max="14" width="14.42578125" style="2" bestFit="1" customWidth="1"/>
    <col min="15" max="15" width="13.85546875" style="2" bestFit="1" customWidth="1"/>
    <col min="16" max="16" width="15.7109375" style="2" bestFit="1" customWidth="1"/>
    <col min="17" max="17" width="15.140625" style="2" bestFit="1" customWidth="1"/>
    <col min="18" max="18" width="10.7109375" style="2" bestFit="1" customWidth="1"/>
    <col min="19" max="19" width="10.140625" style="2" bestFit="1" customWidth="1"/>
    <col min="20" max="20" width="8.7109375" style="2" bestFit="1" customWidth="1"/>
    <col min="21" max="21" width="61.28515625" style="2" bestFit="1" customWidth="1"/>
    <col min="22" max="22" width="14.140625" style="2" bestFit="1" customWidth="1"/>
    <col min="23" max="23" width="13.5703125" style="2" bestFit="1" customWidth="1"/>
    <col min="24" max="24" width="15.42578125" style="2" bestFit="1" customWidth="1"/>
    <col min="25" max="25" width="14.85546875" style="2" bestFit="1" customWidth="1"/>
    <col min="26" max="26" width="14.42578125" style="2" bestFit="1" customWidth="1"/>
    <col min="27" max="27" width="13.85546875" style="2" bestFit="1" customWidth="1"/>
    <col min="28" max="28" width="15.7109375" style="2" bestFit="1" customWidth="1"/>
    <col min="29" max="29" width="15.140625" style="2" bestFit="1" customWidth="1"/>
    <col min="30" max="30" width="10.7109375" style="2" bestFit="1" customWidth="1"/>
    <col min="31" max="31" width="10.140625" style="2" bestFit="1" customWidth="1"/>
    <col min="32" max="32" width="8.7109375" style="2" bestFit="1" customWidth="1"/>
    <col min="33" max="33" width="32.28515625" style="2" bestFit="1" customWidth="1"/>
    <col min="34" max="34" width="14.140625" style="2" bestFit="1" customWidth="1"/>
    <col min="35" max="35" width="13.5703125" style="2" bestFit="1" customWidth="1"/>
    <col min="36" max="36" width="15.42578125" style="2" bestFit="1" customWidth="1"/>
    <col min="37" max="37" width="14.85546875" style="2" bestFit="1" customWidth="1"/>
    <col min="38" max="38" width="14.42578125" style="2" bestFit="1" customWidth="1"/>
    <col min="39" max="39" width="13.85546875" style="2" bestFit="1" customWidth="1"/>
    <col min="40" max="40" width="15.7109375" style="2" bestFit="1" customWidth="1"/>
    <col min="41" max="41" width="15.140625" style="2" bestFit="1" customWidth="1"/>
    <col min="42" max="42" width="10.7109375" style="2" bestFit="1" customWidth="1"/>
    <col min="43" max="43" width="10.140625" style="2" bestFit="1" customWidth="1"/>
    <col min="44" max="44" width="8.7109375" style="2" bestFit="1" customWidth="1"/>
    <col min="45" max="45" width="39.7109375" style="2" bestFit="1" customWidth="1"/>
    <col min="46" max="46" width="14.140625" style="2" bestFit="1" customWidth="1"/>
    <col min="47" max="47" width="13.5703125" style="2" bestFit="1" customWidth="1"/>
    <col min="48" max="48" width="15.42578125" style="2" bestFit="1" customWidth="1"/>
    <col min="49" max="49" width="14.85546875" style="2" bestFit="1" customWidth="1"/>
    <col min="50" max="50" width="14.42578125" style="2" bestFit="1" customWidth="1"/>
    <col min="51" max="51" width="13.85546875" style="2" bestFit="1" customWidth="1"/>
    <col min="52" max="52" width="15.7109375" style="2" bestFit="1" customWidth="1"/>
    <col min="53" max="53" width="15.140625" style="2" bestFit="1" customWidth="1"/>
    <col min="54" max="54" width="10.7109375" style="2" bestFit="1" customWidth="1"/>
    <col min="55" max="55" width="10.140625" style="2" bestFit="1" customWidth="1"/>
    <col min="56" max="56" width="8.7109375" style="2" bestFit="1" customWidth="1"/>
    <col min="57" max="57" width="36.85546875" style="2" bestFit="1" customWidth="1"/>
    <col min="58" max="58" width="14.140625" style="2" bestFit="1" customWidth="1"/>
    <col min="59" max="59" width="13.5703125" style="2" bestFit="1" customWidth="1"/>
    <col min="60" max="60" width="15.42578125" style="2" bestFit="1" customWidth="1"/>
    <col min="61" max="61" width="14.85546875" style="2" bestFit="1" customWidth="1"/>
    <col min="62" max="62" width="14.42578125" style="2" bestFit="1" customWidth="1"/>
    <col min="63" max="63" width="13.85546875" style="2" bestFit="1" customWidth="1"/>
    <col min="64" max="64" width="15.7109375" style="2" bestFit="1" customWidth="1"/>
    <col min="65" max="65" width="15.140625" style="2" bestFit="1" customWidth="1"/>
    <col min="66" max="66" width="10.7109375" style="2" bestFit="1" customWidth="1"/>
    <col min="67" max="67" width="10.140625" style="2" bestFit="1" customWidth="1"/>
    <col min="68" max="68" width="8.7109375" style="2" bestFit="1" customWidth="1"/>
    <col min="69" max="69" width="39.28515625" style="2" bestFit="1" customWidth="1"/>
    <col min="70" max="70" width="14.140625" style="2" bestFit="1" customWidth="1"/>
    <col min="71" max="71" width="13.5703125" style="2" bestFit="1" customWidth="1"/>
    <col min="72" max="72" width="15.42578125" style="2" bestFit="1" customWidth="1"/>
    <col min="73" max="73" width="14.85546875" style="2" bestFit="1" customWidth="1"/>
    <col min="74" max="74" width="14.42578125" style="2" bestFit="1" customWidth="1"/>
    <col min="75" max="75" width="13.85546875" style="2" bestFit="1" customWidth="1"/>
    <col min="76" max="76" width="15.7109375" style="2" bestFit="1" customWidth="1"/>
    <col min="77" max="77" width="15.140625" style="2" bestFit="1" customWidth="1"/>
    <col min="78" max="78" width="10.7109375" style="2" bestFit="1" customWidth="1"/>
    <col min="79" max="79" width="10.140625" style="2" bestFit="1" customWidth="1"/>
    <col min="80" max="80" width="8.7109375" style="2" bestFit="1" customWidth="1"/>
    <col min="81" max="81" width="41.140625" style="2" bestFit="1" customWidth="1"/>
    <col min="82" max="82" width="14.140625" style="2" bestFit="1" customWidth="1"/>
    <col min="83" max="83" width="13.5703125" style="2" bestFit="1" customWidth="1"/>
    <col min="84" max="84" width="15.42578125" style="2" bestFit="1" customWidth="1"/>
    <col min="85" max="85" width="14.85546875" style="2" bestFit="1" customWidth="1"/>
    <col min="86" max="86" width="14.42578125" style="2" bestFit="1" customWidth="1"/>
    <col min="87" max="87" width="13.85546875" style="2" bestFit="1" customWidth="1"/>
    <col min="88" max="88" width="15.7109375" style="2" bestFit="1" customWidth="1"/>
    <col min="89" max="89" width="15.140625" style="2" bestFit="1" customWidth="1"/>
    <col min="90" max="90" width="10.7109375" style="2" bestFit="1" customWidth="1"/>
    <col min="91" max="91" width="10.140625" style="2" bestFit="1" customWidth="1"/>
    <col min="92" max="92" width="8.7109375" style="2" bestFit="1" customWidth="1"/>
    <col min="93" max="93" width="39.7109375" style="2" bestFit="1" customWidth="1"/>
    <col min="94" max="94" width="14.140625" style="2" bestFit="1" customWidth="1"/>
    <col min="95" max="95" width="13.5703125" style="2" bestFit="1" customWidth="1"/>
    <col min="96" max="96" width="15.42578125" style="2" bestFit="1" customWidth="1"/>
    <col min="97" max="97" width="14.85546875" style="2" bestFit="1" customWidth="1"/>
    <col min="98" max="98" width="14.42578125" style="2" bestFit="1" customWidth="1"/>
    <col min="99" max="99" width="13.85546875" style="2" bestFit="1" customWidth="1"/>
    <col min="100" max="100" width="15.7109375" style="2" bestFit="1" customWidth="1"/>
    <col min="101" max="101" width="15.140625" style="2" bestFit="1" customWidth="1"/>
    <col min="102" max="102" width="10.7109375" style="2" bestFit="1" customWidth="1"/>
    <col min="103" max="103" width="10.140625" style="2" bestFit="1" customWidth="1"/>
    <col min="104" max="104" width="8.7109375" style="2" bestFit="1" customWidth="1"/>
    <col min="105" max="105" width="8.5703125" style="2" bestFit="1" customWidth="1"/>
    <col min="106" max="106" width="14.140625" style="2" bestFit="1" customWidth="1"/>
    <col min="107" max="107" width="13.5703125" style="2" bestFit="1" customWidth="1"/>
    <col min="108" max="108" width="15.42578125" style="2" bestFit="1" customWidth="1"/>
    <col min="109" max="109" width="14.85546875" style="2" bestFit="1" customWidth="1"/>
    <col min="110" max="110" width="14.42578125" style="2" bestFit="1" customWidth="1"/>
    <col min="111" max="111" width="13.85546875" style="2" bestFit="1" customWidth="1"/>
    <col min="112" max="112" width="15.7109375" style="2" bestFit="1" customWidth="1"/>
    <col min="113" max="113" width="15.140625" style="2" bestFit="1" customWidth="1"/>
    <col min="114" max="114" width="10.7109375" style="2" bestFit="1" customWidth="1"/>
    <col min="115" max="115" width="10.140625" style="2" bestFit="1" customWidth="1"/>
    <col min="116" max="116" width="8.7109375" style="2" bestFit="1" customWidth="1"/>
    <col min="117" max="117" width="9.5703125" style="2" bestFit="1" customWidth="1"/>
    <col min="118" max="118" width="15.140625" style="2" bestFit="1" customWidth="1"/>
    <col min="119" max="119" width="14.5703125" style="2" bestFit="1" customWidth="1"/>
    <col min="120" max="120" width="16.42578125" style="2" bestFit="1" customWidth="1"/>
    <col min="121" max="121" width="15.85546875" style="2" bestFit="1" customWidth="1"/>
    <col min="122" max="122" width="15.42578125" style="2" bestFit="1" customWidth="1"/>
    <col min="123" max="123" width="14.85546875" style="2" bestFit="1" customWidth="1"/>
    <col min="124" max="124" width="16.7109375" style="2" bestFit="1" customWidth="1"/>
    <col min="125" max="125" width="16.140625" style="2" bestFit="1" customWidth="1"/>
    <col min="126" max="126" width="11.7109375" style="2" bestFit="1" customWidth="1"/>
    <col min="127" max="127" width="11.140625" style="2" bestFit="1" customWidth="1"/>
    <col min="128" max="128" width="9.7109375" style="2" bestFit="1" customWidth="1"/>
    <col min="129" max="129" width="9.5703125" style="2" bestFit="1" customWidth="1"/>
    <col min="130" max="130" width="15.140625" style="2" bestFit="1" customWidth="1"/>
    <col min="131" max="131" width="14.5703125" style="2" bestFit="1" customWidth="1"/>
    <col min="132" max="132" width="16.42578125" style="2" bestFit="1" customWidth="1"/>
    <col min="133" max="133" width="15.85546875" style="2" bestFit="1" customWidth="1"/>
    <col min="134" max="134" width="15.42578125" style="2" bestFit="1" customWidth="1"/>
    <col min="135" max="135" width="14.85546875" style="2" bestFit="1" customWidth="1"/>
    <col min="136" max="136" width="16.7109375" style="2" bestFit="1" customWidth="1"/>
    <col min="137" max="137" width="16.140625" style="2" bestFit="1" customWidth="1"/>
    <col min="138" max="138" width="11.7109375" style="2" bestFit="1" customWidth="1"/>
    <col min="139" max="139" width="11.140625" style="2" bestFit="1" customWidth="1"/>
    <col min="140" max="140" width="9.7109375" style="2" bestFit="1" customWidth="1"/>
    <col min="141" max="141" width="10" style="2" bestFit="1" customWidth="1"/>
    <col min="142" max="142" width="13.85546875" style="2" bestFit="1" customWidth="1"/>
    <col min="143" max="143" width="10" style="2" bestFit="1" customWidth="1"/>
    <col min="144" max="144" width="10.7109375" style="2" bestFit="1" customWidth="1"/>
    <col min="145" max="145" width="8.85546875" style="2" bestFit="1" customWidth="1"/>
    <col min="146" max="146" width="9.5703125" style="2" bestFit="1" customWidth="1"/>
    <col min="147" max="147" width="6.5703125" style="2" bestFit="1" customWidth="1"/>
    <col min="148" max="148" width="11.85546875" style="2" customWidth="1"/>
    <col min="149" max="149" width="17.5703125" style="2" customWidth="1"/>
    <col min="150" max="16384" width="9.140625" style="2"/>
  </cols>
  <sheetData>
    <row r="1" spans="1:150" x14ac:dyDescent="0.25">
      <c r="A1" s="4" t="s">
        <v>1</v>
      </c>
      <c r="B1" s="3" t="s">
        <v>2</v>
      </c>
      <c r="C1" s="3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122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123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124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125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126</v>
      </c>
      <c r="BQ1" s="2" t="s">
        <v>64</v>
      </c>
      <c r="BR1" s="2" t="s">
        <v>65</v>
      </c>
      <c r="BS1" s="2" t="s">
        <v>66</v>
      </c>
      <c r="BT1" s="2" t="s">
        <v>67</v>
      </c>
      <c r="BU1" s="2" t="s">
        <v>68</v>
      </c>
      <c r="BV1" s="2" t="s">
        <v>69</v>
      </c>
      <c r="BW1" s="2" t="s">
        <v>70</v>
      </c>
      <c r="BX1" s="2" t="s">
        <v>71</v>
      </c>
      <c r="BY1" s="2" t="s">
        <v>72</v>
      </c>
      <c r="BZ1" s="2" t="s">
        <v>73</v>
      </c>
      <c r="CA1" s="2" t="s">
        <v>74</v>
      </c>
      <c r="CB1" s="2" t="s">
        <v>127</v>
      </c>
      <c r="CC1" s="2" t="s">
        <v>75</v>
      </c>
      <c r="CD1" s="2" t="s">
        <v>76</v>
      </c>
      <c r="CE1" s="2" t="s">
        <v>77</v>
      </c>
      <c r="CF1" s="2" t="s">
        <v>78</v>
      </c>
      <c r="CG1" s="2" t="s">
        <v>79</v>
      </c>
      <c r="CH1" s="2" t="s">
        <v>80</v>
      </c>
      <c r="CI1" s="2" t="s">
        <v>81</v>
      </c>
      <c r="CJ1" s="2" t="s">
        <v>82</v>
      </c>
      <c r="CK1" s="2" t="s">
        <v>83</v>
      </c>
      <c r="CL1" s="2" t="s">
        <v>84</v>
      </c>
      <c r="CM1" s="2" t="s">
        <v>85</v>
      </c>
      <c r="CN1" s="2" t="s">
        <v>128</v>
      </c>
      <c r="CO1" s="2" t="s">
        <v>86</v>
      </c>
      <c r="CP1" s="2" t="s">
        <v>87</v>
      </c>
      <c r="CQ1" s="2" t="s">
        <v>88</v>
      </c>
      <c r="CR1" s="2" t="s">
        <v>89</v>
      </c>
      <c r="CS1" s="2" t="s">
        <v>90</v>
      </c>
      <c r="CT1" s="2" t="s">
        <v>91</v>
      </c>
      <c r="CU1" s="2" t="s">
        <v>92</v>
      </c>
      <c r="CV1" s="2" t="s">
        <v>93</v>
      </c>
      <c r="CW1" s="2" t="s">
        <v>94</v>
      </c>
      <c r="CX1" s="2" t="s">
        <v>95</v>
      </c>
      <c r="CY1" s="2" t="s">
        <v>96</v>
      </c>
      <c r="CZ1" s="2" t="s">
        <v>129</v>
      </c>
      <c r="DA1" s="2" t="s">
        <v>97</v>
      </c>
      <c r="DB1" s="2" t="s">
        <v>98</v>
      </c>
      <c r="DC1" s="2" t="s">
        <v>99</v>
      </c>
      <c r="DD1" s="2" t="s">
        <v>100</v>
      </c>
      <c r="DE1" s="2" t="s">
        <v>101</v>
      </c>
      <c r="DF1" s="2" t="s">
        <v>102</v>
      </c>
      <c r="DG1" s="2" t="s">
        <v>103</v>
      </c>
      <c r="DH1" s="2" t="s">
        <v>104</v>
      </c>
      <c r="DI1" s="2" t="s">
        <v>105</v>
      </c>
      <c r="DJ1" s="2" t="s">
        <v>106</v>
      </c>
      <c r="DK1" s="2" t="s">
        <v>107</v>
      </c>
      <c r="DL1" s="2" t="s">
        <v>130</v>
      </c>
      <c r="DM1" s="2" t="s">
        <v>108</v>
      </c>
      <c r="DN1" s="2" t="s">
        <v>109</v>
      </c>
      <c r="DO1" s="2" t="s">
        <v>110</v>
      </c>
      <c r="DP1" s="2" t="s">
        <v>111</v>
      </c>
      <c r="DQ1" s="2" t="s">
        <v>112</v>
      </c>
      <c r="DR1" s="2" t="s">
        <v>113</v>
      </c>
      <c r="DS1" s="2" t="s">
        <v>114</v>
      </c>
      <c r="DT1" s="2" t="s">
        <v>115</v>
      </c>
      <c r="DU1" s="2" t="s">
        <v>116</v>
      </c>
      <c r="DV1" s="2" t="s">
        <v>117</v>
      </c>
      <c r="DW1" s="2" t="s">
        <v>118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120</v>
      </c>
      <c r="EL1" s="2" t="s">
        <v>119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121</v>
      </c>
      <c r="ER1" s="2" t="s">
        <v>164</v>
      </c>
      <c r="ES1" s="2" t="s">
        <v>151</v>
      </c>
      <c r="ET1" s="2" t="s">
        <v>166</v>
      </c>
    </row>
    <row r="2" spans="1:150" s="3" customFormat="1" ht="15.75" customHeight="1" x14ac:dyDescent="0.25">
      <c r="A2" s="5">
        <v>2000345</v>
      </c>
      <c r="B2" s="3">
        <v>2000500</v>
      </c>
      <c r="C2" s="3">
        <v>2014310031</v>
      </c>
      <c r="D2" s="3" t="s">
        <v>152</v>
      </c>
      <c r="E2" s="3" t="s">
        <v>153</v>
      </c>
      <c r="F2" s="3" t="s">
        <v>150</v>
      </c>
      <c r="G2" s="3" t="s">
        <v>145</v>
      </c>
      <c r="H2" s="3" t="s">
        <v>154</v>
      </c>
      <c r="I2" s="3" t="s">
        <v>155</v>
      </c>
      <c r="J2" s="3">
        <v>30</v>
      </c>
      <c r="K2" s="3">
        <v>24</v>
      </c>
      <c r="L2" s="3" t="s">
        <v>144</v>
      </c>
      <c r="M2" s="3" t="s">
        <v>144</v>
      </c>
      <c r="N2" s="3">
        <v>70</v>
      </c>
      <c r="O2" s="3">
        <v>53</v>
      </c>
      <c r="P2" s="3" t="s">
        <v>144</v>
      </c>
      <c r="Q2" s="3" t="s">
        <v>144</v>
      </c>
      <c r="R2" s="3">
        <v>100</v>
      </c>
      <c r="S2" s="3">
        <v>77</v>
      </c>
      <c r="T2" s="3" t="s">
        <v>156</v>
      </c>
      <c r="U2" s="3" t="s">
        <v>157</v>
      </c>
      <c r="V2" s="3">
        <v>30</v>
      </c>
      <c r="W2" s="3">
        <v>25</v>
      </c>
      <c r="X2" s="3" t="s">
        <v>144</v>
      </c>
      <c r="Y2" s="3" t="s">
        <v>144</v>
      </c>
      <c r="Z2" s="3">
        <v>70</v>
      </c>
      <c r="AA2" s="3">
        <v>55</v>
      </c>
      <c r="AB2" s="3" t="s">
        <v>144</v>
      </c>
      <c r="AC2" s="3" t="s">
        <v>144</v>
      </c>
      <c r="AD2" s="3">
        <v>100</v>
      </c>
      <c r="AE2" s="3">
        <v>80</v>
      </c>
      <c r="AF2" s="3" t="s">
        <v>156</v>
      </c>
      <c r="AG2" s="3" t="s">
        <v>158</v>
      </c>
      <c r="AH2" s="3">
        <v>30</v>
      </c>
      <c r="AI2" s="3">
        <v>21</v>
      </c>
      <c r="AJ2" s="3" t="s">
        <v>144</v>
      </c>
      <c r="AK2" s="3" t="s">
        <v>144</v>
      </c>
      <c r="AL2" s="3">
        <v>70</v>
      </c>
      <c r="AM2" s="3">
        <v>49</v>
      </c>
      <c r="AN2" s="3" t="s">
        <v>144</v>
      </c>
      <c r="AO2" s="3" t="s">
        <v>144</v>
      </c>
      <c r="AP2" s="3">
        <v>100</v>
      </c>
      <c r="AQ2" s="3">
        <v>70</v>
      </c>
      <c r="AR2" s="3" t="s">
        <v>156</v>
      </c>
      <c r="AS2" s="3" t="s">
        <v>159</v>
      </c>
      <c r="AT2" s="3">
        <v>30</v>
      </c>
      <c r="AU2" s="3">
        <v>23</v>
      </c>
      <c r="AV2" s="3" t="s">
        <v>144</v>
      </c>
      <c r="AW2" s="3" t="s">
        <v>144</v>
      </c>
      <c r="AX2" s="3">
        <v>70</v>
      </c>
      <c r="AY2" s="3">
        <v>59</v>
      </c>
      <c r="AZ2" s="3" t="s">
        <v>144</v>
      </c>
      <c r="BA2" s="3" t="s">
        <v>144</v>
      </c>
      <c r="BB2" s="3">
        <v>100</v>
      </c>
      <c r="BC2" s="3">
        <v>82</v>
      </c>
      <c r="BD2" s="3" t="s">
        <v>156</v>
      </c>
      <c r="BE2" s="3" t="s">
        <v>160</v>
      </c>
      <c r="BF2" s="3">
        <v>30</v>
      </c>
      <c r="BG2" s="3">
        <v>25</v>
      </c>
      <c r="BH2" s="3" t="s">
        <v>144</v>
      </c>
      <c r="BI2" s="3" t="s">
        <v>144</v>
      </c>
      <c r="BJ2" s="3">
        <v>70</v>
      </c>
      <c r="BK2" s="3">
        <v>47</v>
      </c>
      <c r="BL2" s="3" t="s">
        <v>144</v>
      </c>
      <c r="BM2" s="3" t="s">
        <v>144</v>
      </c>
      <c r="BN2" s="3">
        <v>100</v>
      </c>
      <c r="BO2" s="3">
        <v>72</v>
      </c>
      <c r="BP2" s="3" t="s">
        <v>156</v>
      </c>
      <c r="BQ2" s="3" t="s">
        <v>161</v>
      </c>
      <c r="BR2" s="3">
        <v>30</v>
      </c>
      <c r="BS2" s="3">
        <v>25</v>
      </c>
      <c r="BT2" s="3" t="s">
        <v>144</v>
      </c>
      <c r="BU2" s="3" t="s">
        <v>144</v>
      </c>
      <c r="BV2" s="3">
        <v>70</v>
      </c>
      <c r="BW2" s="3">
        <v>49</v>
      </c>
      <c r="BX2" s="3" t="s">
        <v>144</v>
      </c>
      <c r="BY2" s="3" t="s">
        <v>144</v>
      </c>
      <c r="BZ2" s="3">
        <v>100</v>
      </c>
      <c r="CA2" s="3">
        <v>74</v>
      </c>
      <c r="CB2" s="3" t="s">
        <v>156</v>
      </c>
      <c r="CC2" s="3" t="s">
        <v>162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>
        <v>100</v>
      </c>
      <c r="CK2" s="3">
        <v>78</v>
      </c>
      <c r="CL2" s="3">
        <v>100</v>
      </c>
      <c r="CM2" s="3">
        <v>78</v>
      </c>
      <c r="CN2" s="3" t="s">
        <v>156</v>
      </c>
      <c r="CO2" s="3" t="s">
        <v>163</v>
      </c>
      <c r="CP2" s="3" t="s">
        <v>144</v>
      </c>
      <c r="CQ2" s="3" t="s">
        <v>144</v>
      </c>
      <c r="CR2" s="3">
        <v>50</v>
      </c>
      <c r="CS2" s="3">
        <v>42</v>
      </c>
      <c r="CT2" s="3" t="s">
        <v>144</v>
      </c>
      <c r="CU2" s="3" t="s">
        <v>144</v>
      </c>
      <c r="CV2" s="3">
        <v>50</v>
      </c>
      <c r="CW2" s="3">
        <v>42</v>
      </c>
      <c r="CX2" s="3">
        <v>100</v>
      </c>
      <c r="CY2" s="3">
        <v>84</v>
      </c>
      <c r="CZ2" s="3" t="s">
        <v>156</v>
      </c>
      <c r="EK2" s="1">
        <v>800</v>
      </c>
      <c r="EL2" s="1">
        <f t="shared" ref="EL2" si="0">SUM(S2,AE2,AQ2,BC2,BO2,CA2,CM2,CY2)</f>
        <v>617</v>
      </c>
      <c r="EM2">
        <f t="shared" ref="EM2" si="1">SUM(S2,AE2,AQ2,BC2,BO2,CA2,)</f>
        <v>455</v>
      </c>
      <c r="EN2">
        <f t="shared" ref="EN2" si="2">SUM(CM2,CY2)</f>
        <v>162</v>
      </c>
      <c r="EO2">
        <v>600</v>
      </c>
      <c r="EP2">
        <v>200</v>
      </c>
      <c r="EQ2" s="1" t="s">
        <v>0</v>
      </c>
      <c r="ER2" s="2" t="s">
        <v>165</v>
      </c>
      <c r="ES2" s="3" t="s">
        <v>168</v>
      </c>
      <c r="ET2" s="2" t="s">
        <v>167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</dc:creator>
  <cp:lastModifiedBy>manoj</cp:lastModifiedBy>
  <cp:lastPrinted>2016-11-05T06:12:28Z</cp:lastPrinted>
  <dcterms:created xsi:type="dcterms:W3CDTF">2014-02-08T09:21:42Z</dcterms:created>
  <dcterms:modified xsi:type="dcterms:W3CDTF">2023-03-21T11:24:39Z</dcterms:modified>
</cp:coreProperties>
</file>