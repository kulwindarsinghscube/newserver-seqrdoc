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2A45FF2A-264E-4C89-A02C-C63CFB7A88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Sheet1!$F$1:$H$2</definedName>
  </definedNames>
  <calcPr calcId="181029"/>
</workbook>
</file>

<file path=xl/calcChain.xml><?xml version="1.0" encoding="utf-8"?>
<calcChain xmlns="http://schemas.openxmlformats.org/spreadsheetml/2006/main">
  <c r="GF2" i="1" l="1"/>
  <c r="GE2" i="1"/>
  <c r="S2" i="1"/>
  <c r="T2" i="1" s="1"/>
  <c r="AF2" i="1"/>
  <c r="AG2" i="1" s="1"/>
  <c r="AS2" i="1"/>
  <c r="AT2" i="1" s="1"/>
  <c r="BF2" i="1"/>
  <c r="BG2" i="1" s="1"/>
  <c r="BS2" i="1"/>
  <c r="BT2" i="1" s="1"/>
</calcChain>
</file>

<file path=xl/sharedStrings.xml><?xml version="1.0" encoding="utf-8"?>
<sst xmlns="http://schemas.openxmlformats.org/spreadsheetml/2006/main" count="225" uniqueCount="206">
  <si>
    <t>2018-2019</t>
  </si>
  <si>
    <t>__</t>
  </si>
  <si>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</si>
  <si>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</si>
  <si>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</si>
  <si>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</si>
  <si>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</si>
  <si>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</si>
  <si>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</si>
  <si>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</si>
  <si>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</si>
  <si>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</si>
  <si>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</si>
  <si>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</si>
  <si>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</si>
  <si>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</si>
  <si>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</si>
  <si>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</si>
  <si>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</si>
  <si>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</si>
  <si>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</si>
  <si>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</si>
  <si>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</si>
  <si>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</si>
  <si>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</si>
  <si>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</si>
  <si>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</si>
  <si>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</si>
  <si>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</si>
  <si>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</si>
  <si>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</si>
  <si>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</si>
  <si>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</si>
  <si>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</si>
  <si>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</si>
  <si>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</si>
  <si>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</si>
  <si>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</si>
  <si>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</si>
  <si>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</si>
  <si>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</si>
  <si>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</si>
  <si>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</si>
  <si>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</si>
  <si>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</si>
  <si>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</si>
  <si>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</si>
  <si>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</si>
  <si>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</si>
  <si>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</si>
  <si>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</si>
  <si>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</si>
  <si>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</si>
  <si>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</si>
  <si>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</si>
  <si>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</si>
  <si>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</si>
  <si>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</si>
  <si>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</si>
  <si>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</si>
  <si>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</si>
  <si>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</si>
  <si>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</si>
  <si>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</si>
  <si>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</si>
  <si>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</si>
  <si>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</si>
  <si>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</si>
  <si>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</si>
  <si>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</si>
  <si>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</si>
  <si>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</si>
  <si>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</si>
  <si>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</si>
  <si>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</si>
  <si>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</si>
  <si>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</si>
  <si>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</si>
  <si>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</si>
  <si>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</si>
  <si>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</si>
  <si>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</si>
  <si>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</si>
  <si>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</si>
  <si>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</si>
  <si>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</si>
  <si>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</si>
  <si>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</si>
  <si>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</si>
  <si>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</si>
  <si>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</si>
  <si>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</si>
  <si>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</si>
  <si>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</si>
  <si>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</si>
  <si>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</si>
  <si>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</si>
  <si>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</si>
  <si>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</si>
  <si>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</si>
  <si>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</si>
  <si>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</si>
  <si>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</si>
  <si>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</si>
  <si>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</si>
  <si>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</si>
  <si>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</si>
  <si>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</si>
  <si>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</si>
  <si>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</si>
  <si>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</si>
  <si>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</si>
  <si>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</si>
  <si>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</si>
  <si>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</si>
  <si>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</si>
  <si>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</si>
  <si>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</si>
  <si>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</si>
  <si>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</si>
  <si>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</si>
  <si>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</si>
  <si>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</si>
  <si>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</si>
  <si>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</si>
  <si>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</si>
  <si>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</si>
  <si>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</si>
  <si>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</si>
  <si>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</si>
  <si>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</si>
  <si>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</si>
  <si>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</si>
  <si>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</si>
  <si>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</si>
  <si>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</si>
  <si>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</si>
  <si>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</si>
  <si>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</si>
  <si>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</si>
  <si>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MaxMarks</t>
  </si>
  <si>
    <t>totalMarksObt</t>
  </si>
  <si>
    <t>Result</t>
  </si>
  <si>
    <t>B.TECH.(CIVIL ENGG.)</t>
  </si>
  <si>
    <t>sem1MaxMarks</t>
  </si>
  <si>
    <t>Sem1Obtmarks</t>
  </si>
  <si>
    <t>sgpasem1</t>
  </si>
  <si>
    <t>Sem1passingyear</t>
  </si>
  <si>
    <t>sem2MaxMarks</t>
  </si>
  <si>
    <t>Sem2Obtmarks</t>
  </si>
  <si>
    <t>sgpasem2</t>
  </si>
  <si>
    <t>Sem2passingyear</t>
  </si>
  <si>
    <t>sem3MaxMarks</t>
  </si>
  <si>
    <t>Sem3Obtmarks</t>
  </si>
  <si>
    <t>sgpasem3</t>
  </si>
  <si>
    <t>Sem3passingyear</t>
  </si>
  <si>
    <t>sem4MaxMarks</t>
  </si>
  <si>
    <t>Sem4Obtmarks</t>
  </si>
  <si>
    <t>sgpasem4</t>
  </si>
  <si>
    <t>Sem4passingyear</t>
  </si>
  <si>
    <t>sem5MaxMarks</t>
  </si>
  <si>
    <t>Sem5Obtmarks</t>
  </si>
  <si>
    <t>sgpasem5</t>
  </si>
  <si>
    <t>Sem5passingyear</t>
  </si>
  <si>
    <t>sem6MaxMarks</t>
  </si>
  <si>
    <t>Sem6Obtmarks</t>
  </si>
  <si>
    <t>sgpasem6</t>
  </si>
  <si>
    <t>Sem6passingyear</t>
  </si>
  <si>
    <t>sem7MaxMarks</t>
  </si>
  <si>
    <t>Sem7Obtmarks</t>
  </si>
  <si>
    <t>sgpasem7</t>
  </si>
  <si>
    <t>Sem7passingyear</t>
  </si>
  <si>
    <t>sem8MaxMarks</t>
  </si>
  <si>
    <t>Sem8Obtmarks</t>
  </si>
  <si>
    <t>sgpasem8</t>
  </si>
  <si>
    <t>Sem8passingyear</t>
  </si>
  <si>
    <t>Maxtotal</t>
  </si>
  <si>
    <t>ObtTotal</t>
  </si>
  <si>
    <t>CGPA</t>
  </si>
  <si>
    <t>SEM 8</t>
  </si>
  <si>
    <t>[ECE-481] Construction Technology &amp; Management</t>
  </si>
  <si>
    <t>[ECE-482] Earthquake Resistant Design Of Structure</t>
  </si>
  <si>
    <t>[ECE-483] Analysis And Design of Hydraulic Structure</t>
  </si>
  <si>
    <t>[ECE-484] Rural Water Supply &amp; Sanitation</t>
  </si>
  <si>
    <t>[ECE-P-485] Project Work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</si>
  <si>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</si>
  <si>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</si>
  <si>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</si>
  <si>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</si>
  <si>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</si>
  <si>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</si>
  <si>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</si>
  <si>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</si>
  <si>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</si>
  <si>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</si>
  <si>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</si>
  <si>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</si>
  <si>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</si>
  <si>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Photo</t>
  </si>
  <si>
    <t>Somesh Rao</t>
  </si>
  <si>
    <t>Raghu Rao</t>
  </si>
  <si>
    <t>Date</t>
  </si>
  <si>
    <t>SEP-2018</t>
  </si>
  <si>
    <t>Date of Issue</t>
  </si>
  <si>
    <t>21-03-2023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</si>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</sst>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E000000}"/>
    <cellStyle name="Title 3" xfId="45" xr:uid="{00000000-0005-0000-0000-00002F000000}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"/>
  <sheetViews>
    <sheetView tabSelected="1" zoomScaleNormal="100" workbookViewId="0">
      <pane xSplit="2" topLeftCell="FZ1" activePane="topRight" state="frozen"/>
      <selection pane="topRight" activeCell="GJ2" sqref="GJ2"/>
    </sheetView>
  </sheetViews>
  <sheetFormatPr defaultColWidth="21.28515625" defaultRowHeight="15" x14ac:dyDescent="0.25"/>
  <cols>
    <col min="1" max="1" width="11" style="2" bestFit="1" customWidth="1"/>
    <col min="2" max="2" width="13.5703125" style="2" bestFit="1" customWidth="1"/>
    <col min="3" max="3" width="11" style="2" bestFit="1" customWidth="1"/>
    <col min="4" max="4" width="30.28515625" style="2" bestFit="1" customWidth="1"/>
    <col min="5" max="5" width="32.28515625" style="2" bestFit="1" customWidth="1"/>
    <col min="6" max="6" width="55.42578125" bestFit="1" customWidth="1"/>
    <col min="7" max="7" width="8.7109375" bestFit="1" customWidth="1"/>
    <col min="8" max="8" width="9.7109375" bestFit="1" customWidth="1"/>
    <col min="9" max="9" width="82.7109375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1" bestFit="1" customWidth="1"/>
    <col min="19" max="19" width="10.140625" style="1" bestFit="1" customWidth="1"/>
    <col min="20" max="20" width="8.7109375" style="1" bestFit="1" customWidth="1"/>
    <col min="21" max="21" width="7" bestFit="1" customWidth="1"/>
    <col min="22" max="22" width="62.8554687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1" bestFit="1" customWidth="1"/>
    <col min="32" max="32" width="10.140625" style="1" bestFit="1" customWidth="1"/>
    <col min="33" max="33" width="8.7109375" style="1" bestFit="1" customWidth="1"/>
    <col min="34" max="34" width="7" bestFit="1" customWidth="1"/>
    <col min="35" max="35" width="86.71093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1" bestFit="1" customWidth="1"/>
    <col min="45" max="45" width="10.140625" style="1" bestFit="1" customWidth="1"/>
    <col min="46" max="46" width="8.7109375" style="1" bestFit="1" customWidth="1"/>
    <col min="47" max="47" width="7" bestFit="1" customWidth="1"/>
    <col min="48" max="48" width="57.1406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1" bestFit="1" customWidth="1"/>
    <col min="58" max="58" width="10.140625" style="1" bestFit="1" customWidth="1"/>
    <col min="59" max="59" width="8.7109375" style="1" bestFit="1" customWidth="1"/>
    <col min="60" max="60" width="7" bestFit="1" customWidth="1"/>
    <col min="61" max="61" width="53.42578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1" bestFit="1" customWidth="1"/>
    <col min="71" max="71" width="10.140625" style="1" bestFit="1" customWidth="1"/>
    <col min="72" max="72" width="8.7109375" style="1" bestFit="1" customWidth="1"/>
    <col min="73" max="73" width="7" bestFit="1" customWidth="1"/>
    <col min="74" max="74" width="53.42578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style="1" bestFit="1" customWidth="1"/>
    <col min="84" max="84" width="10.140625" style="1" bestFit="1" customWidth="1"/>
    <col min="85" max="85" width="8.7109375" style="1" bestFit="1" customWidth="1"/>
    <col min="86" max="86" width="7" bestFit="1" customWidth="1"/>
    <col min="87" max="87" width="49.1406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style="1" bestFit="1" customWidth="1"/>
    <col min="97" max="97" width="10.140625" style="1" bestFit="1" customWidth="1"/>
    <col min="98" max="98" width="8.7109375" style="1" bestFit="1" customWidth="1"/>
    <col min="99" max="99" width="7" bestFit="1" customWidth="1"/>
    <col min="100" max="100" width="48.8554687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style="1" bestFit="1" customWidth="1"/>
    <col min="110" max="110" width="10.140625" style="1" bestFit="1" customWidth="1"/>
    <col min="111" max="111" width="8.7109375" style="1" bestFit="1" customWidth="1"/>
    <col min="112" max="112" width="7" bestFit="1" customWidth="1"/>
    <col min="113" max="113" width="23.8554687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style="1" bestFit="1" customWidth="1"/>
    <col min="123" max="123" width="10.140625" style="1" bestFit="1" customWidth="1"/>
    <col min="124" max="124" width="8.7109375" style="1" bestFit="1" customWidth="1"/>
    <col min="125" max="125" width="7" bestFit="1" customWidth="1"/>
    <col min="126" max="126" width="35.1406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35.710937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10" bestFit="1" customWidth="1"/>
    <col min="153" max="153" width="13.85546875" bestFit="1" customWidth="1"/>
    <col min="154" max="154" width="6.5703125" style="4" bestFit="1" customWidth="1"/>
    <col min="155" max="155" width="14.85546875" style="3" bestFit="1" customWidth="1"/>
    <col min="156" max="156" width="14.5703125" bestFit="1" customWidth="1"/>
    <col min="157" max="157" width="9.7109375" bestFit="1" customWidth="1"/>
    <col min="158" max="158" width="16.42578125" bestFit="1" customWidth="1"/>
    <col min="159" max="159" width="14.85546875" bestFit="1" customWidth="1"/>
    <col min="160" max="160" width="14.5703125" bestFit="1" customWidth="1"/>
    <col min="161" max="161" width="9.7109375" bestFit="1" customWidth="1"/>
    <col min="162" max="162" width="16.42578125" bestFit="1" customWidth="1"/>
    <col min="163" max="163" width="14.85546875" bestFit="1" customWidth="1"/>
    <col min="164" max="164" width="14.5703125" bestFit="1" customWidth="1"/>
    <col min="165" max="165" width="9.7109375" bestFit="1" customWidth="1"/>
    <col min="166" max="166" width="16.42578125" bestFit="1" customWidth="1"/>
    <col min="167" max="167" width="14.85546875" bestFit="1" customWidth="1"/>
    <col min="168" max="168" width="14.5703125" bestFit="1" customWidth="1"/>
    <col min="169" max="169" width="9.7109375" bestFit="1" customWidth="1"/>
    <col min="170" max="170" width="16.42578125" bestFit="1" customWidth="1"/>
    <col min="171" max="171" width="14.85546875" bestFit="1" customWidth="1"/>
    <col min="172" max="172" width="14.5703125" bestFit="1" customWidth="1"/>
    <col min="173" max="173" width="12" bestFit="1" customWidth="1"/>
    <col min="174" max="174" width="16.42578125" bestFit="1" customWidth="1"/>
    <col min="175" max="175" width="14.85546875" bestFit="1" customWidth="1"/>
    <col min="176" max="176" width="14.5703125" bestFit="1" customWidth="1"/>
    <col min="177" max="177" width="12" bestFit="1" customWidth="1"/>
    <col min="178" max="178" width="16.42578125" bestFit="1" customWidth="1"/>
    <col min="179" max="179" width="14.85546875" bestFit="1" customWidth="1"/>
    <col min="180" max="180" width="14.5703125" bestFit="1" customWidth="1"/>
    <col min="181" max="181" width="12" bestFit="1" customWidth="1"/>
    <col min="182" max="182" width="16.42578125" bestFit="1" customWidth="1"/>
    <col min="183" max="183" width="14.85546875" bestFit="1" customWidth="1"/>
    <col min="184" max="184" width="14.5703125" bestFit="1" customWidth="1"/>
    <col min="185" max="185" width="9.7109375" bestFit="1" customWidth="1"/>
    <col min="186" max="186" width="16.42578125" bestFit="1" customWidth="1"/>
    <col min="187" max="187" width="8.85546875" bestFit="1" customWidth="1"/>
    <col min="188" max="188" width="8.7109375" bestFit="1" customWidth="1"/>
    <col min="189" max="189" width="5.85546875" bestFit="1" customWidth="1"/>
    <col min="190" max="190" width="11.7109375" style="3" customWidth="1"/>
  </cols>
  <sheetData>
    <row r="1" spans="1:192" x14ac:dyDescent="0.25">
      <c r="A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185</v>
      </c>
      <c r="EJ1" t="s">
        <v>186</v>
      </c>
      <c r="EK1" t="s">
        <v>187</v>
      </c>
      <c r="EL1" t="s">
        <v>188</v>
      </c>
      <c r="EM1" t="s">
        <v>189</v>
      </c>
      <c r="EN1" t="s">
        <v>190</v>
      </c>
      <c r="EO1" t="s">
        <v>191</v>
      </c>
      <c r="EP1" t="s">
        <v>192</v>
      </c>
      <c r="EQ1" t="s">
        <v>193</v>
      </c>
      <c r="ER1" t="s">
        <v>194</v>
      </c>
      <c r="ES1" t="s">
        <v>195</v>
      </c>
      <c r="ET1" t="s">
        <v>196</v>
      </c>
      <c r="EU1" t="s">
        <v>197</v>
      </c>
      <c r="EV1" t="s">
        <v>140</v>
      </c>
      <c r="EW1" t="s">
        <v>141</v>
      </c>
      <c r="EX1" s="4" t="s">
        <v>142</v>
      </c>
      <c r="EY1" t="s">
        <v>144</v>
      </c>
      <c r="EZ1" t="s">
        <v>145</v>
      </c>
      <c r="FA1" t="s">
        <v>146</v>
      </c>
      <c r="FB1" t="s">
        <v>147</v>
      </c>
      <c r="FC1" t="s">
        <v>148</v>
      </c>
      <c r="FD1" t="s">
        <v>149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161</v>
      </c>
      <c r="FQ1" t="s">
        <v>162</v>
      </c>
      <c r="FR1" t="s">
        <v>163</v>
      </c>
      <c r="FS1" t="s">
        <v>164</v>
      </c>
      <c r="FT1" t="s">
        <v>165</v>
      </c>
      <c r="FU1" t="s">
        <v>166</v>
      </c>
      <c r="FV1" t="s">
        <v>167</v>
      </c>
      <c r="FW1" t="s">
        <v>168</v>
      </c>
      <c r="FX1" t="s">
        <v>169</v>
      </c>
      <c r="FY1" t="s">
        <v>170</v>
      </c>
      <c r="FZ1" t="s">
        <v>171</v>
      </c>
      <c r="GA1" t="s">
        <v>172</v>
      </c>
      <c r="GB1" t="s">
        <v>173</v>
      </c>
      <c r="GC1" t="s">
        <v>174</v>
      </c>
      <c r="GD1" t="s">
        <v>175</v>
      </c>
      <c r="GE1" t="s">
        <v>176</v>
      </c>
      <c r="GF1" t="s">
        <v>177</v>
      </c>
      <c r="GG1" t="s">
        <v>178</v>
      </c>
      <c r="GH1" s="3" t="s">
        <v>201</v>
      </c>
      <c r="GI1" s="3" t="s">
        <v>198</v>
      </c>
      <c r="GJ1" s="3" t="s">
        <v>203</v>
      </c>
    </row>
    <row r="2" spans="1:192" x14ac:dyDescent="0.25">
      <c r="A2">
        <v>22245</v>
      </c>
      <c r="B2">
        <v>6000</v>
      </c>
      <c r="C2">
        <v>222</v>
      </c>
      <c r="D2" t="s">
        <v>199</v>
      </c>
      <c r="E2" t="s">
        <v>200</v>
      </c>
      <c r="F2" t="s">
        <v>143</v>
      </c>
      <c r="G2" t="s">
        <v>179</v>
      </c>
      <c r="H2" t="s">
        <v>0</v>
      </c>
      <c r="I2" t="s">
        <v>180</v>
      </c>
      <c r="J2">
        <v>30</v>
      </c>
      <c r="K2">
        <v>23</v>
      </c>
      <c r="L2" t="s">
        <v>1</v>
      </c>
      <c r="M2" t="s">
        <v>1</v>
      </c>
      <c r="N2">
        <v>70</v>
      </c>
      <c r="O2">
        <v>38</v>
      </c>
      <c r="P2" t="s">
        <v>1</v>
      </c>
      <c r="Q2" t="s">
        <v>1</v>
      </c>
      <c r="R2">
        <v>100</v>
      </c>
      <c r="S2" s="1">
        <f t="shared" ref="S2" si="0">SUM(K2,M2,O2,Q2)</f>
        <v>61</v>
      </c>
      <c r="T2" s="1" t="str">
        <f t="shared" ref="T2" si="1">IF(S2*100/R2&lt;40,"F",IF(S2*100/R2&lt;=50,"P",IF(S2*100/R2&lt;=55,"C",IF(S2*100/R2&lt;=60,"B",IF(S2*100/R2&lt;=70,"B+",IF(S2*100/R2&lt;=80,"A",IF(S2*100/R2&lt;=90,"A+",IF(S2*100/R2&lt;=100,"O",""))))))))</f>
        <v>B+</v>
      </c>
      <c r="U2">
        <v>4</v>
      </c>
      <c r="V2" t="s">
        <v>181</v>
      </c>
      <c r="W2">
        <v>30</v>
      </c>
      <c r="X2">
        <v>22</v>
      </c>
      <c r="Y2" t="s">
        <v>1</v>
      </c>
      <c r="Z2" t="s">
        <v>1</v>
      </c>
      <c r="AA2">
        <v>70</v>
      </c>
      <c r="AB2">
        <v>37</v>
      </c>
      <c r="AC2" t="s">
        <v>1</v>
      </c>
      <c r="AD2" t="s">
        <v>1</v>
      </c>
      <c r="AE2">
        <v>100</v>
      </c>
      <c r="AF2" s="1">
        <f>SUM(X2,Z2,AB2,AD2)</f>
        <v>59</v>
      </c>
      <c r="AG2" s="1" t="str">
        <f>IF(AF2*100/AE2&lt;40,"F",IF(AF2*100/AE2&lt;=50,"P",IF(AF2*100/AE2&lt;=55,"C",IF(AF2*100/AE2&lt;=60,"B",IF(AF2*100/AE2&lt;=70,"B+",IF(AF2*100/AE2&lt;=80,"A",IF(AF2*100/AE2&lt;=90,"A+",IF(AF2*100/AE2&lt;=100,"O",""))))))))</f>
        <v>B</v>
      </c>
      <c r="AH2">
        <v>4</v>
      </c>
      <c r="AI2" t="s">
        <v>182</v>
      </c>
      <c r="AJ2">
        <v>30</v>
      </c>
      <c r="AK2">
        <v>23</v>
      </c>
      <c r="AL2" t="s">
        <v>1</v>
      </c>
      <c r="AM2" t="s">
        <v>1</v>
      </c>
      <c r="AN2">
        <v>70</v>
      </c>
      <c r="AO2">
        <v>51</v>
      </c>
      <c r="AP2" t="s">
        <v>1</v>
      </c>
      <c r="AQ2" t="s">
        <v>1</v>
      </c>
      <c r="AR2">
        <v>100</v>
      </c>
      <c r="AS2" s="1">
        <f>SUM(AK2,AM2,AO2,AQ2)</f>
        <v>74</v>
      </c>
      <c r="AT2" s="1" t="str">
        <f>IF(AS2*100/AR2&lt;40,"F",IF(AS2*100/AR2&lt;=50,"P",IF(AS2*100/AR2&lt;=55,"C",IF(AS2*100/AR2&lt;=60,"B",IF(AS2*100/AR2&lt;=70,"B+",IF(AS2*100/AR2&lt;=80,"A",IF(AS2*100/AR2&lt;=90,"A+",IF(AS2*100/AR2&lt;=100,"O",""))))))))</f>
        <v>A</v>
      </c>
      <c r="AU2">
        <v>4</v>
      </c>
      <c r="AV2" t="s">
        <v>183</v>
      </c>
      <c r="AW2">
        <v>30</v>
      </c>
      <c r="AX2">
        <v>23</v>
      </c>
      <c r="AY2" t="s">
        <v>1</v>
      </c>
      <c r="AZ2" t="s">
        <v>1</v>
      </c>
      <c r="BA2">
        <v>70</v>
      </c>
      <c r="BB2">
        <v>30</v>
      </c>
      <c r="BC2" t="s">
        <v>1</v>
      </c>
      <c r="BD2" t="s">
        <v>1</v>
      </c>
      <c r="BE2">
        <v>100</v>
      </c>
      <c r="BF2" s="1">
        <f>SUM(AX2,AZ2,BB2,BD2)</f>
        <v>53</v>
      </c>
      <c r="BG2" s="1" t="str">
        <f>IF(BF2*100/BE2&lt;40,"F",IF(BF2*100/BE2&lt;=50,"P",IF(BF2*100/BE2&lt;=55,"C",IF(BF2*100/BE2&lt;=60,"B",IF(BF2*100/BE2&lt;=70,"B+",IF(BF2*100/BE2&lt;=80,"A",IF(BF2*100/BE2&lt;=90,"A+",IF(BF2*100/BE2&lt;=100,"O",""))))))))</f>
        <v>C</v>
      </c>
      <c r="BH2">
        <v>4</v>
      </c>
      <c r="BI2" t="s">
        <v>184</v>
      </c>
      <c r="BJ2" t="s">
        <v>1</v>
      </c>
      <c r="BK2" t="s">
        <v>1</v>
      </c>
      <c r="BL2">
        <v>150</v>
      </c>
      <c r="BM2">
        <v>124</v>
      </c>
      <c r="BN2" t="s">
        <v>1</v>
      </c>
      <c r="BO2" t="s">
        <v>1</v>
      </c>
      <c r="BP2">
        <v>200</v>
      </c>
      <c r="BQ2">
        <v>173</v>
      </c>
      <c r="BR2">
        <v>350</v>
      </c>
      <c r="BS2" s="1">
        <f>SUM(BK2,BM2,BO2,BQ2)</f>
        <v>297</v>
      </c>
      <c r="BT2" s="1" t="str">
        <f>IF(BS2*100/BR2&lt;40,"F",IF(BS2*100/BR2&lt;=50,"P",IF(BS2*100/BR2&lt;=55,"C",IF(BS2*100/BR2&lt;=60,"B",IF(BS2*100/BR2&lt;=70,"B+",IF(BS2*100/BR2&lt;=80,"A",IF(BS2*100/BR2&lt;=90,"A+",IF(BS2*100/BR2&lt;=100,"O",""))))))))</f>
        <v>A+</v>
      </c>
      <c r="BU2">
        <v>8</v>
      </c>
      <c r="CE2"/>
      <c r="CF2"/>
      <c r="CG2"/>
      <c r="CR2"/>
      <c r="CS2"/>
      <c r="CT2"/>
      <c r="DE2"/>
      <c r="DF2"/>
      <c r="DG2"/>
      <c r="DR2"/>
      <c r="DS2"/>
      <c r="DT2"/>
      <c r="EV2">
        <v>750</v>
      </c>
      <c r="EW2">
        <v>544</v>
      </c>
      <c r="EX2" s="4">
        <v>7.33</v>
      </c>
      <c r="EY2">
        <v>1000</v>
      </c>
      <c r="EZ2">
        <v>574</v>
      </c>
      <c r="FA2">
        <v>5.35</v>
      </c>
      <c r="FB2">
        <v>2015</v>
      </c>
      <c r="FC2">
        <v>1000</v>
      </c>
      <c r="FD2">
        <v>662</v>
      </c>
      <c r="FE2">
        <v>6.12</v>
      </c>
      <c r="FF2">
        <v>2016</v>
      </c>
      <c r="FG2">
        <v>900</v>
      </c>
      <c r="FH2">
        <v>509</v>
      </c>
      <c r="FI2">
        <v>5.33</v>
      </c>
      <c r="FJ2">
        <v>2016</v>
      </c>
      <c r="FK2">
        <v>1100</v>
      </c>
      <c r="FL2">
        <v>745</v>
      </c>
      <c r="FM2">
        <v>6.62</v>
      </c>
      <c r="FN2">
        <v>2017</v>
      </c>
      <c r="FO2">
        <v>900</v>
      </c>
      <c r="FP2">
        <v>605</v>
      </c>
      <c r="FQ2">
        <v>6.79</v>
      </c>
      <c r="FR2">
        <v>2017</v>
      </c>
      <c r="FS2">
        <v>800</v>
      </c>
      <c r="FT2">
        <v>487</v>
      </c>
      <c r="FU2">
        <v>5.73</v>
      </c>
      <c r="FV2">
        <v>2018</v>
      </c>
      <c r="FW2">
        <v>700</v>
      </c>
      <c r="FX2">
        <v>516</v>
      </c>
      <c r="FY2">
        <v>7.59</v>
      </c>
      <c r="FZ2">
        <v>2018</v>
      </c>
      <c r="GA2">
        <v>750</v>
      </c>
      <c r="GB2">
        <v>544</v>
      </c>
      <c r="GC2">
        <v>7.33</v>
      </c>
      <c r="GD2">
        <v>2019</v>
      </c>
      <c r="GE2">
        <f t="shared" ref="GE2" si="2">SUM(EY2,FC2,FG2,FK2,FO2,FS2,FW2,GA2)</f>
        <v>7150</v>
      </c>
      <c r="GF2">
        <f t="shared" ref="GF2" si="3">SUM(EZ2,FD2,FH2,FL2,FP2,FT2,FX2,GB2)</f>
        <v>4642</v>
      </c>
      <c r="GG2">
        <v>6.32</v>
      </c>
      <c r="GH2" s="3" t="s">
        <v>202</v>
      </c>
      <c r="GI2" t="s">
        <v>205</v>
      </c>
      <c r="GJ2" s="3" t="s">
        <v>204</v>
      </c>
    </row>
  </sheetData>
  <sortState xmlns:xlrd2="http://schemas.microsoft.com/office/spreadsheetml/2017/richdata2" ref="DH252:NB258">
    <sortCondition ref="DN252:DN258"/>
  </sortState>
  <conditionalFormatting sqref="B1:B2">
    <cfRule type="duplicateValues" dxfId="0" priority="88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2023-03-21T11:31:13Z</dcterms:modified>
</cp:coreProperties>
</file>