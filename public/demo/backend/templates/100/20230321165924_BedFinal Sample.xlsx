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CD853524-2B48-471F-802B-757401F567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81029"/>
</workbook>
</file>

<file path=xl/calcChain.xml><?xml version="1.0" encoding="utf-8"?>
<calcChain xmlns="http://schemas.openxmlformats.org/spreadsheetml/2006/main">
  <c r="FB2" i="1" l="1"/>
  <c r="EZ2" i="1"/>
  <c r="EN2" i="1"/>
  <c r="EM2" i="1"/>
  <c r="CY2" i="1"/>
  <c r="CM2" i="1"/>
  <c r="CA2" i="1"/>
  <c r="BO2" i="1"/>
  <c r="BC2" i="1"/>
  <c r="AQ2" i="1"/>
  <c r="AE2" i="1"/>
  <c r="S2" i="1"/>
  <c r="EK2" i="1" l="1"/>
  <c r="EV2" i="1" s="1"/>
  <c r="FA2" i="1" s="1"/>
  <c r="EL2" i="1"/>
  <c r="EX2" i="1" s="1"/>
  <c r="FC2" i="1" s="1"/>
</calcChain>
</file>

<file path=xl/sharedStrings.xml><?xml version="1.0" encoding="utf-8"?>
<sst xmlns="http://schemas.openxmlformats.org/spreadsheetml/2006/main" count="231" uniqueCount="189">
  <si>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</si>
  <si>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</si>
  <si>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</si>
  <si>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</si>
  <si>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</si>
  <si>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</si>
  <si>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</si>
  <si>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</si>
  <si>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</si>
  <si>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</si>
  <si>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</si>
  <si>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</si>
  <si>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</si>
  <si>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</si>
  <si>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</si>
  <si>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</si>
  <si>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</si>
  <si>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</si>
  <si>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</si>
  <si>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</si>
  <si>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</si>
  <si>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</si>
  <si>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</si>
  <si>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</si>
  <si>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</si>
  <si>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</si>
  <si>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</si>
  <si>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</si>
  <si>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</si>
  <si>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</si>
  <si>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</si>
  <si>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</si>
  <si>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</si>
  <si>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</si>
  <si>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</si>
  <si>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</si>
  <si>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</si>
  <si>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</si>
  <si>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</si>
  <si>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</si>
  <si>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</si>
  <si>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</si>
  <si>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</si>
  <si>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</si>
  <si>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</si>
  <si>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</si>
  <si>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</si>
  <si>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</si>
  <si>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</si>
  <si>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</si>
  <si>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</si>
  <si>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</si>
  <si>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</si>
  <si>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</si>
  <si>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</si>
  <si>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</si>
  <si>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</si>
  <si>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</si>
  <si>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</si>
  <si>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</si>
  <si>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</si>
  <si>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</si>
  <si>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</si>
  <si>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</si>
  <si>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</si>
  <si>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</si>
  <si>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</si>
  <si>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</si>
  <si>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</si>
  <si>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</si>
  <si>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</si>
  <si>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</si>
  <si>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</si>
  <si>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</si>
  <si>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</si>
  <si>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</si>
  <si>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</si>
  <si>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</si>
  <si>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</si>
  <si>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</si>
  <si>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</si>
  <si>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</si>
  <si>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</si>
  <si>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</si>
  <si>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</si>
  <si>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</si>
  <si>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</si>
  <si>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</si>
  <si>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</si>
  <si>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</si>
  <si>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</si>
  <si>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</si>
  <si>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</si>
  <si>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</si>
  <si>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</si>
  <si>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</si>
  <si>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</si>
  <si>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</si>
  <si>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</si>
  <si>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</si>
  <si>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</si>
  <si>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</si>
  <si>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</si>
  <si>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</si>
  <si>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</si>
  <si>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</si>
  <si>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</si>
  <si>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</si>
  <si>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</si>
  <si>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</si>
  <si>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</si>
  <si>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</si>
  <si>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</si>
  <si>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</si>
  <si>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</si>
  <si>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</si>
  <si>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</si>
  <si>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</si>
  <si>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</si>
  <si>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</si>
  <si>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</si>
  <si>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</si>
  <si>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</si>
  <si>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</si>
  <si>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</si>
  <si>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</si>
  <si>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</si>
  <si>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</si>
  <si>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</si>
  <si>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</si>
  <si>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</si>
  <si>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</si>
  <si>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</si>
  <si>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</si>
  <si>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</si>
  <si>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</si>
  <si>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</si>
  <si>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</si>
  <si>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</si>
  <si>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</si>
  <si>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Result</t>
  </si>
  <si>
    <t>Photo</t>
  </si>
  <si>
    <t>ob. In thry</t>
  </si>
  <si>
    <t>ob. In Prac.</t>
  </si>
  <si>
    <t>M in thry</t>
  </si>
  <si>
    <t>m in prac.</t>
  </si>
  <si>
    <t>1yrextmm</t>
  </si>
  <si>
    <t>1yrextmo</t>
  </si>
  <si>
    <t>1yrpcmm</t>
  </si>
  <si>
    <t>1yrpcm0</t>
  </si>
  <si>
    <t>2yrextmm</t>
  </si>
  <si>
    <t>2yrextmo</t>
  </si>
  <si>
    <t>2yrpcmm</t>
  </si>
  <si>
    <t>2yrpcm0</t>
  </si>
  <si>
    <t>totalextmm</t>
  </si>
  <si>
    <t>totalextmo</t>
  </si>
  <si>
    <t>totalpracmm</t>
  </si>
  <si>
    <t>totalpracmo</t>
  </si>
  <si>
    <t>divisionthe</t>
  </si>
  <si>
    <t>divisionprac</t>
  </si>
  <si>
    <t>XXXXXXXX</t>
  </si>
  <si>
    <t xml:space="preserve">D P KOTHARI </t>
  </si>
  <si>
    <t>B.Ed.</t>
  </si>
  <si>
    <t>YEAR 2</t>
  </si>
  <si>
    <t>2016-2017</t>
  </si>
  <si>
    <t xml:space="preserve">[BED-211] Creating an Inclusive School   </t>
  </si>
  <si>
    <t>__</t>
  </si>
  <si>
    <t>P</t>
  </si>
  <si>
    <t>[BED-212] Gender, School and Society</t>
  </si>
  <si>
    <t xml:space="preserve">[BED-213] Knowledge, Language and Curriculum  </t>
  </si>
  <si>
    <t xml:space="preserve">[BED-214] Assessment for Learning          </t>
  </si>
  <si>
    <t>[BED-215] Educational Administration and Management</t>
  </si>
  <si>
    <t>[BED-P-219] Viva-Voce Examination Based on Workshop</t>
  </si>
  <si>
    <t>[BED-P-2110] Understanding of I.C.T</t>
  </si>
  <si>
    <t>[BED-P-2111] School Internship</t>
  </si>
  <si>
    <t>PASS</t>
  </si>
  <si>
    <t>2015-2016</t>
  </si>
  <si>
    <t>FIRST</t>
  </si>
  <si>
    <t>%the</t>
  </si>
  <si>
    <t>%prac</t>
  </si>
  <si>
    <t>Rohan Kothari</t>
  </si>
  <si>
    <t>E123456</t>
  </si>
  <si>
    <t>Date</t>
  </si>
  <si>
    <t>Sept-2018</t>
  </si>
  <si>
    <t>session2</t>
  </si>
  <si>
    <t>session3</t>
  </si>
  <si>
    <t>Date of Issue</t>
  </si>
  <si>
    <t>21-03-2023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</si>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</sst>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49" fontId="0" fillId="0" borderId="0" xfId="0" applyNumberFormat="1" applyAlignment="1">
      <alignment horizontal="left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5" xfId="49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2E000000}"/>
    <cellStyle name="Title 3" xfId="45" xr:uid="{00000000-0005-0000-0000-00002F000000}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52</xdr:col>
      <xdr:colOff>0</xdr:colOff>
      <xdr:row>1</xdr:row>
      <xdr:rowOff>0</xdr:rowOff>
    </xdr:from>
    <xdr:ext cx="914400" cy="257175"/>
    <xdr:pic>
      <xdr:nvPicPr>
        <xdr:cNvPr id="2" name="Picture 337" hidden="1">
          <a:extLst>
            <a:ext uri="{FF2B5EF4-FFF2-40B4-BE49-F238E27FC236}">
              <a16:creationId xmlns:a16="http://schemas.microsoft.com/office/drawing/2014/main" id="{92CF411E-9889-451A-93F1-678D4CCA04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3" name="Picture 28" hidden="1">
          <a:extLst>
            <a:ext uri="{FF2B5EF4-FFF2-40B4-BE49-F238E27FC236}">
              <a16:creationId xmlns:a16="http://schemas.microsoft.com/office/drawing/2014/main" id="{1CFD6369-9A24-4968-B4F2-AAFB40A2C2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4" name="Picture 19" hidden="1">
          <a:extLst>
            <a:ext uri="{FF2B5EF4-FFF2-40B4-BE49-F238E27FC236}">
              <a16:creationId xmlns:a16="http://schemas.microsoft.com/office/drawing/2014/main" id="{4FCFCAED-4422-43EA-BAC8-65323D0C9E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5" name="Picture 28" hidden="1">
          <a:extLst>
            <a:ext uri="{FF2B5EF4-FFF2-40B4-BE49-F238E27FC236}">
              <a16:creationId xmlns:a16="http://schemas.microsoft.com/office/drawing/2014/main" id="{3E0EAA8C-8767-4363-AD0C-76FA77BB6A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6" name="Picture 19" hidden="1">
          <a:extLst>
            <a:ext uri="{FF2B5EF4-FFF2-40B4-BE49-F238E27FC236}">
              <a16:creationId xmlns:a16="http://schemas.microsoft.com/office/drawing/2014/main" id="{D852F26F-6C30-43D9-986F-FFD4F5C964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52</xdr:col>
      <xdr:colOff>0</xdr:colOff>
      <xdr:row>1</xdr:row>
      <xdr:rowOff>0</xdr:rowOff>
    </xdr:from>
    <xdr:ext cx="914400" cy="257175"/>
    <xdr:pic>
      <xdr:nvPicPr>
        <xdr:cNvPr id="7" name="Picture 342" hidden="1">
          <a:extLst>
            <a:ext uri="{FF2B5EF4-FFF2-40B4-BE49-F238E27FC236}">
              <a16:creationId xmlns:a16="http://schemas.microsoft.com/office/drawing/2014/main" id="{5391498C-64AC-40A2-8819-EEC308F963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02375" y="190500"/>
          <a:ext cx="91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"/>
  <sheetViews>
    <sheetView tabSelected="1" topLeftCell="ET1" zoomScaleNormal="100" workbookViewId="0">
      <selection activeCell="FH2" sqref="FH2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7.85546875" bestFit="1" customWidth="1"/>
    <col min="4" max="4" width="15.42578125" bestFit="1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1" bestFit="1" customWidth="1"/>
    <col min="19" max="19" width="10.140625" style="1" bestFit="1" customWidth="1"/>
    <col min="20" max="20" width="8.7109375" style="1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1" bestFit="1" customWidth="1"/>
    <col min="32" max="32" width="10.140625" style="1" bestFit="1" customWidth="1"/>
    <col min="33" max="33" width="8.7109375" style="1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1" bestFit="1" customWidth="1"/>
    <col min="45" max="45" width="10.140625" style="1" bestFit="1" customWidth="1"/>
    <col min="46" max="46" width="8.7109375" style="1" bestFit="1" customWidth="1"/>
    <col min="47" max="47" width="7" bestFit="1" customWidth="1"/>
    <col min="48" max="48" width="56.8554687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1" bestFit="1" customWidth="1"/>
    <col min="58" max="58" width="10.140625" style="1" bestFit="1" customWidth="1"/>
    <col min="59" max="59" width="8.7109375" style="1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1" bestFit="1" customWidth="1"/>
    <col min="71" max="71" width="10.140625" style="1" bestFit="1" customWidth="1"/>
    <col min="72" max="72" width="8.7109375" style="1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10" bestFit="1" customWidth="1"/>
    <col min="153" max="153" width="13.85546875" bestFit="1" customWidth="1"/>
    <col min="154" max="154" width="6.5703125" style="2" bestFit="1" customWidth="1"/>
    <col min="155" max="155" width="9" style="3" bestFit="1" customWidth="1"/>
    <col min="156" max="156" width="12.140625" style="3" customWidth="1"/>
    <col min="157" max="157" width="16.28515625" customWidth="1"/>
    <col min="164" max="164" width="9.140625" style="3"/>
    <col min="165" max="165" width="12.140625" customWidth="1"/>
    <col min="166" max="166" width="12.28515625" customWidth="1"/>
  </cols>
  <sheetData>
    <row r="1" spans="1:166" s="6" customFormat="1" x14ac:dyDescent="0.25">
      <c r="A1" s="3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142</v>
      </c>
      <c r="EL1" s="6" t="s">
        <v>143</v>
      </c>
      <c r="EM1" s="6" t="s">
        <v>144</v>
      </c>
      <c r="EN1" s="6" t="s">
        <v>145</v>
      </c>
      <c r="EO1" s="6" t="s">
        <v>140</v>
      </c>
      <c r="EP1" s="6" t="s">
        <v>146</v>
      </c>
      <c r="EQ1" s="6" t="s">
        <v>147</v>
      </c>
      <c r="ER1" s="6" t="s">
        <v>148</v>
      </c>
      <c r="ES1" s="6" t="s">
        <v>149</v>
      </c>
      <c r="ET1" s="6" t="s">
        <v>184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185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178</v>
      </c>
      <c r="FE1" s="6" t="s">
        <v>179</v>
      </c>
      <c r="FF1" s="6" t="s">
        <v>158</v>
      </c>
      <c r="FG1" s="6" t="s">
        <v>159</v>
      </c>
      <c r="FH1" s="6" t="s">
        <v>182</v>
      </c>
      <c r="FI1" s="3" t="s">
        <v>141</v>
      </c>
      <c r="FJ1" s="3" t="s">
        <v>186</v>
      </c>
    </row>
    <row r="2" spans="1:166" s="1" customFormat="1" x14ac:dyDescent="0.25">
      <c r="A2" s="5">
        <v>44568</v>
      </c>
      <c r="B2" s="5" t="s">
        <v>181</v>
      </c>
      <c r="C2" s="5" t="s">
        <v>160</v>
      </c>
      <c r="D2" s="5" t="s">
        <v>180</v>
      </c>
      <c r="E2" s="4" t="s">
        <v>161</v>
      </c>
      <c r="F2" s="4" t="s">
        <v>162</v>
      </c>
      <c r="G2" s="1" t="s">
        <v>163</v>
      </c>
      <c r="H2" s="1" t="s">
        <v>164</v>
      </c>
      <c r="I2" s="1" t="s">
        <v>165</v>
      </c>
      <c r="J2" s="1">
        <v>20</v>
      </c>
      <c r="K2" s="1">
        <v>16</v>
      </c>
      <c r="L2" s="4" t="s">
        <v>166</v>
      </c>
      <c r="M2" s="4" t="s">
        <v>166</v>
      </c>
      <c r="N2" s="1">
        <v>80</v>
      </c>
      <c r="O2" s="1">
        <v>60</v>
      </c>
      <c r="P2" s="4" t="s">
        <v>166</v>
      </c>
      <c r="Q2" s="4" t="s">
        <v>166</v>
      </c>
      <c r="R2" s="1">
        <v>100</v>
      </c>
      <c r="S2" s="1">
        <f>SUM(O2,K2,M2,Q2)</f>
        <v>76</v>
      </c>
      <c r="T2" s="1" t="s">
        <v>167</v>
      </c>
      <c r="U2" s="1" t="s">
        <v>168</v>
      </c>
      <c r="V2" s="1">
        <v>20</v>
      </c>
      <c r="W2" s="1">
        <v>15</v>
      </c>
      <c r="X2" s="4" t="s">
        <v>166</v>
      </c>
      <c r="Y2" s="4" t="s">
        <v>166</v>
      </c>
      <c r="Z2" s="1">
        <v>80</v>
      </c>
      <c r="AA2" s="1">
        <v>58</v>
      </c>
      <c r="AB2" s="4" t="s">
        <v>166</v>
      </c>
      <c r="AC2" s="4" t="s">
        <v>166</v>
      </c>
      <c r="AD2" s="1">
        <v>100</v>
      </c>
      <c r="AE2" s="1">
        <f>SUM(AA2,W2,Y2,AC2)</f>
        <v>73</v>
      </c>
      <c r="AF2" s="1" t="s">
        <v>167</v>
      </c>
      <c r="AG2" s="1" t="s">
        <v>169</v>
      </c>
      <c r="AH2" s="1">
        <v>20</v>
      </c>
      <c r="AI2" s="1">
        <v>17</v>
      </c>
      <c r="AJ2" s="4" t="s">
        <v>166</v>
      </c>
      <c r="AK2" s="4" t="s">
        <v>166</v>
      </c>
      <c r="AL2" s="1">
        <v>80</v>
      </c>
      <c r="AM2" s="1">
        <v>66</v>
      </c>
      <c r="AN2" s="4" t="s">
        <v>166</v>
      </c>
      <c r="AO2" s="4" t="s">
        <v>166</v>
      </c>
      <c r="AP2" s="1">
        <v>100</v>
      </c>
      <c r="AQ2" s="1">
        <f>SUM(AM2,AI2,AK2,AO2)</f>
        <v>83</v>
      </c>
      <c r="AR2" s="1" t="s">
        <v>167</v>
      </c>
      <c r="AS2" s="1" t="s">
        <v>170</v>
      </c>
      <c r="AT2" s="1">
        <v>20</v>
      </c>
      <c r="AU2" s="1">
        <v>14</v>
      </c>
      <c r="AV2" s="4" t="s">
        <v>166</v>
      </c>
      <c r="AW2" s="4" t="s">
        <v>166</v>
      </c>
      <c r="AX2" s="1">
        <v>80</v>
      </c>
      <c r="AY2" s="1">
        <v>62</v>
      </c>
      <c r="AZ2" s="4" t="s">
        <v>166</v>
      </c>
      <c r="BA2" s="4" t="s">
        <v>166</v>
      </c>
      <c r="BB2" s="1">
        <v>100</v>
      </c>
      <c r="BC2" s="1">
        <f>SUM(AY2,AU2,AW2,BA2)</f>
        <v>76</v>
      </c>
      <c r="BD2" s="1" t="s">
        <v>167</v>
      </c>
      <c r="BE2" s="1" t="s">
        <v>171</v>
      </c>
      <c r="BF2" s="1">
        <v>20</v>
      </c>
      <c r="BG2" s="1">
        <v>15</v>
      </c>
      <c r="BH2" s="4" t="s">
        <v>166</v>
      </c>
      <c r="BI2" s="4" t="s">
        <v>166</v>
      </c>
      <c r="BJ2" s="1">
        <v>80</v>
      </c>
      <c r="BK2" s="1">
        <v>63</v>
      </c>
      <c r="BL2" s="4" t="s">
        <v>166</v>
      </c>
      <c r="BM2" s="4" t="s">
        <v>166</v>
      </c>
      <c r="BN2" s="1">
        <v>100</v>
      </c>
      <c r="BO2" s="1">
        <f>SUM(BK2,BG2,BI2,BM2)</f>
        <v>78</v>
      </c>
      <c r="BP2" s="1" t="s">
        <v>167</v>
      </c>
      <c r="BQ2" s="1" t="s">
        <v>172</v>
      </c>
      <c r="BR2" s="4" t="s">
        <v>166</v>
      </c>
      <c r="BS2" s="4" t="s">
        <v>166</v>
      </c>
      <c r="BT2" s="1">
        <v>25</v>
      </c>
      <c r="BU2" s="1">
        <v>18</v>
      </c>
      <c r="BV2" s="4" t="s">
        <v>166</v>
      </c>
      <c r="BW2" s="4" t="s">
        <v>166</v>
      </c>
      <c r="BX2" s="1">
        <v>25</v>
      </c>
      <c r="BY2" s="1">
        <v>17</v>
      </c>
      <c r="BZ2" s="1">
        <v>50</v>
      </c>
      <c r="CA2" s="1">
        <f>SUM(BW2,BS2,BU2,BY2)</f>
        <v>35</v>
      </c>
      <c r="CB2" s="1" t="s">
        <v>167</v>
      </c>
      <c r="CC2" s="1" t="s">
        <v>173</v>
      </c>
      <c r="CD2" s="4" t="s">
        <v>166</v>
      </c>
      <c r="CE2" s="4" t="s">
        <v>166</v>
      </c>
      <c r="CF2" s="4" t="s">
        <v>166</v>
      </c>
      <c r="CG2" s="4" t="s">
        <v>166</v>
      </c>
      <c r="CH2" s="4" t="s">
        <v>166</v>
      </c>
      <c r="CI2" s="4" t="s">
        <v>166</v>
      </c>
      <c r="CJ2" s="1">
        <v>50</v>
      </c>
      <c r="CK2" s="1">
        <v>40</v>
      </c>
      <c r="CL2" s="1">
        <v>50</v>
      </c>
      <c r="CM2" s="1">
        <f>SUM(CI2,CE2,CG2,CK2)</f>
        <v>40</v>
      </c>
      <c r="CN2" s="1" t="s">
        <v>167</v>
      </c>
      <c r="CO2" s="1" t="s">
        <v>174</v>
      </c>
      <c r="CP2" s="4" t="s">
        <v>166</v>
      </c>
      <c r="CQ2" s="4" t="s">
        <v>166</v>
      </c>
      <c r="CR2" s="1">
        <v>50</v>
      </c>
      <c r="CS2" s="1">
        <v>40</v>
      </c>
      <c r="CT2" s="4" t="s">
        <v>166</v>
      </c>
      <c r="CU2" s="4" t="s">
        <v>166</v>
      </c>
      <c r="CV2" s="1">
        <v>150</v>
      </c>
      <c r="CW2" s="1">
        <v>120</v>
      </c>
      <c r="CX2" s="1">
        <v>200</v>
      </c>
      <c r="CY2" s="1">
        <f>SUM(CU2,CQ2,CS2,CW2)</f>
        <v>160</v>
      </c>
      <c r="CZ2" s="1" t="s">
        <v>167</v>
      </c>
      <c r="EK2" s="1">
        <f>SUM(S2,AE2,AQ2,BC2,BO2)</f>
        <v>386</v>
      </c>
      <c r="EL2" s="1">
        <f>SUM(CA2,CM2,CY2)</f>
        <v>235</v>
      </c>
      <c r="EM2" s="1">
        <f>SUM(R2,AD2,AP2,BB2,BN2,)</f>
        <v>500</v>
      </c>
      <c r="EN2" s="1">
        <f>SUM(BZ2,CL2,CX2,)</f>
        <v>300</v>
      </c>
      <c r="EO2" s="1" t="s">
        <v>175</v>
      </c>
      <c r="EP2" s="1">
        <v>600</v>
      </c>
      <c r="EQ2" s="1">
        <v>502</v>
      </c>
      <c r="ER2" s="1">
        <v>200</v>
      </c>
      <c r="ES2" s="1">
        <v>182</v>
      </c>
      <c r="ET2" s="1" t="s">
        <v>176</v>
      </c>
      <c r="EU2" s="1">
        <v>500</v>
      </c>
      <c r="EV2" s="1">
        <f>EK2</f>
        <v>386</v>
      </c>
      <c r="EW2" s="1">
        <v>300</v>
      </c>
      <c r="EX2" s="1">
        <f>EL2</f>
        <v>235</v>
      </c>
      <c r="EY2" s="1" t="s">
        <v>164</v>
      </c>
      <c r="EZ2" s="1">
        <f t="shared" ref="EZ2" si="0">SUM(EP2,EU2)</f>
        <v>1100</v>
      </c>
      <c r="FA2" s="1">
        <f>SUM(EQ2,EV2)</f>
        <v>888</v>
      </c>
      <c r="FB2" s="1">
        <f t="shared" ref="FB2:FC2" si="1">SUM(ER2,EW2)</f>
        <v>500</v>
      </c>
      <c r="FC2" s="1">
        <f t="shared" si="1"/>
        <v>417</v>
      </c>
      <c r="FD2">
        <v>80.73</v>
      </c>
      <c r="FE2">
        <v>83.4</v>
      </c>
      <c r="FF2" s="1" t="s">
        <v>177</v>
      </c>
      <c r="FG2" s="1" t="s">
        <v>177</v>
      </c>
      <c r="FH2" s="6" t="s">
        <v>183</v>
      </c>
      <c r="FI2" t="s">
        <v>188</v>
      </c>
      <c r="FJ2" s="3" t="s">
        <v>187</v>
      </c>
    </row>
  </sheetData>
  <sortState xmlns:xlrd2="http://schemas.microsoft.com/office/spreadsheetml/2017/richdata2" ref="H4:GZ7">
    <sortCondition ref="N4:N7"/>
  </sortState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2023-03-21T11:27:48Z</dcterms:modified>
</cp:coreProperties>
</file>