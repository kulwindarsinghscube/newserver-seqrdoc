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 defaultThemeVersion="124226"/>
  <xr:revisionPtr revIDLastSave="0" documentId="13_ncr:1_{5B3B63A0-8E81-4CB9-B83B-D0E5683699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B2" i="1" l="1"/>
  <c r="EZ2" i="1"/>
  <c r="EN2" i="1"/>
  <c r="EM2" i="1"/>
  <c r="CY2" i="1"/>
  <c r="CM2" i="1"/>
  <c r="CA2" i="1"/>
  <c r="BO2" i="1"/>
  <c r="BC2" i="1"/>
  <c r="AQ2" i="1"/>
  <c r="AE2" i="1"/>
  <c r="S2" i="1"/>
  <c r="EK2" i="1" l="1"/>
  <c r="EV2" i="1" s="1"/>
  <c r="FA2" i="1" s="1"/>
  <c r="EL2" i="1"/>
  <c r="EX2" i="1" s="1"/>
  <c r="FC2" i="1" s="1"/>
</calcChain>
</file>

<file path=xl/sharedStrings.xml><?xml version="1.0" encoding="utf-8"?>
<sst xmlns="http://schemas.openxmlformats.org/spreadsheetml/2006/main" count="231" uniqueCount="189">
  <si>
    <t>SerialNo</t>
  </si>
  <si>
    <t>EnrollmentNo</t>
  </si>
  <si>
    <t>RollNo</t>
  </si>
  <si>
    <t>CandidateName</t>
  </si>
  <si>
    <t>FatherName</t>
  </si>
  <si>
    <t>CourseName</t>
  </si>
  <si>
    <t>YearSem</t>
  </si>
  <si>
    <t>Session</t>
  </si>
  <si>
    <t>Subject1</t>
  </si>
  <si>
    <t>IntTheorymm1</t>
  </si>
  <si>
    <t>IntTheorymo1</t>
  </si>
  <si>
    <t>IntPracticalmm1</t>
  </si>
  <si>
    <t>IntPracticalmo1</t>
  </si>
  <si>
    <t>ExtTheorymm1</t>
  </si>
  <si>
    <t>ExtTheorymo1</t>
  </si>
  <si>
    <t>ExtPracticalmm1</t>
  </si>
  <si>
    <t>ExtPracticalmo1</t>
  </si>
  <si>
    <t>Grandmm1</t>
  </si>
  <si>
    <t>Grandmo1</t>
  </si>
  <si>
    <t>Remark1</t>
  </si>
  <si>
    <t>Subject2</t>
  </si>
  <si>
    <t>IntTheorymm2</t>
  </si>
  <si>
    <t>IntTheorymo2</t>
  </si>
  <si>
    <t>IntPracticalmm2</t>
  </si>
  <si>
    <t>IntPracticalmo2</t>
  </si>
  <si>
    <t>ExtTheorymm2</t>
  </si>
  <si>
    <t>ExtTheorymo2</t>
  </si>
  <si>
    <t>ExtPracticalmm2</t>
  </si>
  <si>
    <t>ExtPracticalmo2</t>
  </si>
  <si>
    <t>Grandmm2</t>
  </si>
  <si>
    <t>Grandmo2</t>
  </si>
  <si>
    <t>Remark2</t>
  </si>
  <si>
    <t>Subject3</t>
  </si>
  <si>
    <t>IntTheorymm3</t>
  </si>
  <si>
    <t>IntTheorymo3</t>
  </si>
  <si>
    <t>IntPracticalmm3</t>
  </si>
  <si>
    <t>IntPracticalmo3</t>
  </si>
  <si>
    <t>ExtTheorymm3</t>
  </si>
  <si>
    <t>ExtTheorymo3</t>
  </si>
  <si>
    <t>ExtPracticalmm3</t>
  </si>
  <si>
    <t>ExtPracticalmo3</t>
  </si>
  <si>
    <t>Grandmm3</t>
  </si>
  <si>
    <t>Grandmo3</t>
  </si>
  <si>
    <t>Remark3</t>
  </si>
  <si>
    <t>Subject4</t>
  </si>
  <si>
    <t>IntTheorymm4</t>
  </si>
  <si>
    <t>IntTheorymo4</t>
  </si>
  <si>
    <t>IntPracticalmm4</t>
  </si>
  <si>
    <t>IntPracticalmo4</t>
  </si>
  <si>
    <t>ExtTheorymm4</t>
  </si>
  <si>
    <t>ExtTheorymo4</t>
  </si>
  <si>
    <t>ExtPracticalmm4</t>
  </si>
  <si>
    <t>ExtPracticalmo4</t>
  </si>
  <si>
    <t>Grandmm4</t>
  </si>
  <si>
    <t>Grandmo4</t>
  </si>
  <si>
    <t>Remark4</t>
  </si>
  <si>
    <t>Subject5</t>
  </si>
  <si>
    <t>IntTheorymm5</t>
  </si>
  <si>
    <t>IntTheorymo5</t>
  </si>
  <si>
    <t>IntPracticalmm5</t>
  </si>
  <si>
    <t>IntPracticalmo5</t>
  </si>
  <si>
    <t>ExtTheorymm5</t>
  </si>
  <si>
    <t>ExtTheorymo5</t>
  </si>
  <si>
    <t>ExtPracticalmm5</t>
  </si>
  <si>
    <t>ExtPracticalmo5</t>
  </si>
  <si>
    <t>Grandmm5</t>
  </si>
  <si>
    <t>Grandmo5</t>
  </si>
  <si>
    <t>Remark5</t>
  </si>
  <si>
    <t>Subject6</t>
  </si>
  <si>
    <t>IntTheorymm6</t>
  </si>
  <si>
    <t>IntTheorymo6</t>
  </si>
  <si>
    <t>IntPracticalmm6</t>
  </si>
  <si>
    <t>IntPracticalmo6</t>
  </si>
  <si>
    <t>ExtTheorymm6</t>
  </si>
  <si>
    <t>ExtTheorymo6</t>
  </si>
  <si>
    <t>ExtPracticalmm6</t>
  </si>
  <si>
    <t>ExtPracticalmo6</t>
  </si>
  <si>
    <t>Grandmm6</t>
  </si>
  <si>
    <t>Grandmo6</t>
  </si>
  <si>
    <t>Remark6</t>
  </si>
  <si>
    <t>Subject7</t>
  </si>
  <si>
    <t>IntTheorymm7</t>
  </si>
  <si>
    <t>IntTheorymo7</t>
  </si>
  <si>
    <t>IntPracticalmm7</t>
  </si>
  <si>
    <t>IntPracticalmo7</t>
  </si>
  <si>
    <t>ExtTheorymm7</t>
  </si>
  <si>
    <t>ExtTheorymo7</t>
  </si>
  <si>
    <t>ExtPracticalmm7</t>
  </si>
  <si>
    <t>ExtPracticalmo7</t>
  </si>
  <si>
    <t>Grandmm7</t>
  </si>
  <si>
    <t>Grandmo7</t>
  </si>
  <si>
    <t>Remark7</t>
  </si>
  <si>
    <t>Subject8</t>
  </si>
  <si>
    <t>IntTheorymm8</t>
  </si>
  <si>
    <t>IntTheorymo8</t>
  </si>
  <si>
    <t>IntPracticalmm8</t>
  </si>
  <si>
    <t>IntPracticalmo8</t>
  </si>
  <si>
    <t>ExtTheorymm8</t>
  </si>
  <si>
    <t>ExtTheorymo8</t>
  </si>
  <si>
    <t>ExtPracticalmm8</t>
  </si>
  <si>
    <t>ExtPracticalmo8</t>
  </si>
  <si>
    <t>Grandmm8</t>
  </si>
  <si>
    <t>Grandmo8</t>
  </si>
  <si>
    <t>Remark8</t>
  </si>
  <si>
    <t>Subject9</t>
  </si>
  <si>
    <t>IntTheorymm9</t>
  </si>
  <si>
    <t>IntTheorymo9</t>
  </si>
  <si>
    <t>IntPracticalmm9</t>
  </si>
  <si>
    <t>IntPracticalmo9</t>
  </si>
  <si>
    <t>ExtTheorymm9</t>
  </si>
  <si>
    <t>ExtTheorymo9</t>
  </si>
  <si>
    <t>ExtPracticalmm9</t>
  </si>
  <si>
    <t>ExtPracticalmo9</t>
  </si>
  <si>
    <t>Grandmm9</t>
  </si>
  <si>
    <t>Grandmo9</t>
  </si>
  <si>
    <t>Remark9</t>
  </si>
  <si>
    <t>Subject10</t>
  </si>
  <si>
    <t>IntTheorymm10</t>
  </si>
  <si>
    <t>IntTheorymo10</t>
  </si>
  <si>
    <t>IntPracticalmm10</t>
  </si>
  <si>
    <t>IntPracticalmo10</t>
  </si>
  <si>
    <t>ExtTheorymm10</t>
  </si>
  <si>
    <t>ExtTheorymo10</t>
  </si>
  <si>
    <t>ExtPracticalmm10</t>
  </si>
  <si>
    <t>ExtPracticalmo10</t>
  </si>
  <si>
    <t>Grandmm10</t>
  </si>
  <si>
    <t>Grandmo10</t>
  </si>
  <si>
    <t>Remark10</t>
  </si>
  <si>
    <t>Subject11</t>
  </si>
  <si>
    <t>IntTheorymm11</t>
  </si>
  <si>
    <t>IntTheorymo11</t>
  </si>
  <si>
    <t>IntPracticalmm11</t>
  </si>
  <si>
    <t>IntPracticalmo11</t>
  </si>
  <si>
    <t>ExtTheorymm11</t>
  </si>
  <si>
    <t>ExtTheorymo11</t>
  </si>
  <si>
    <t>ExtPracticalmm11</t>
  </si>
  <si>
    <t>ExtPracticalmo11</t>
  </si>
  <si>
    <t>Grandmm11</t>
  </si>
  <si>
    <t>Grandmo11</t>
  </si>
  <si>
    <t>Remark11</t>
  </si>
  <si>
    <t>Result</t>
  </si>
  <si>
    <t>Photo</t>
  </si>
  <si>
    <t>ob. In thry</t>
  </si>
  <si>
    <t>ob. In Prac.</t>
  </si>
  <si>
    <t>M in thry</t>
  </si>
  <si>
    <t>m in prac.</t>
  </si>
  <si>
    <t>1yrextmm</t>
  </si>
  <si>
    <t>1yrextmo</t>
  </si>
  <si>
    <t>1yrpcmm</t>
  </si>
  <si>
    <t>1yrpcm0</t>
  </si>
  <si>
    <t>2yrextmm</t>
  </si>
  <si>
    <t>2yrextmo</t>
  </si>
  <si>
    <t>2yrpcmm</t>
  </si>
  <si>
    <t>2yrpcm0</t>
  </si>
  <si>
    <t>totalextmm</t>
  </si>
  <si>
    <t>totalextmo</t>
  </si>
  <si>
    <t>totalpracmm</t>
  </si>
  <si>
    <t>totalpracmo</t>
  </si>
  <si>
    <t>divisionthe</t>
  </si>
  <si>
    <t>divisionprac</t>
  </si>
  <si>
    <t>XXXXXXXX</t>
  </si>
  <si>
    <t xml:space="preserve">D P KOTHARI </t>
  </si>
  <si>
    <t>B.Ed.</t>
  </si>
  <si>
    <t>YEAR 2</t>
  </si>
  <si>
    <t>2016-2017</t>
  </si>
  <si>
    <t xml:space="preserve">[BED-211] Creating an Inclusive School   </t>
  </si>
  <si>
    <t>__</t>
  </si>
  <si>
    <t>P</t>
  </si>
  <si>
    <t>[BED-212] Gender, School and Society</t>
  </si>
  <si>
    <t xml:space="preserve">[BED-213] Knowledge, Language and Curriculum  </t>
  </si>
  <si>
    <t xml:space="preserve">[BED-214] Assessment for Learning          </t>
  </si>
  <si>
    <t>[BED-215] Educational Administration and Management</t>
  </si>
  <si>
    <t>[BED-P-219] Viva-Voce Examination Based on Workshop</t>
  </si>
  <si>
    <t>[BED-P-2110] Understanding of I.C.T</t>
  </si>
  <si>
    <t>[BED-P-2111] School Internship</t>
  </si>
  <si>
    <t>PASS</t>
  </si>
  <si>
    <t>2015-2016</t>
  </si>
  <si>
    <t>FIRST</t>
  </si>
  <si>
    <t>%the</t>
  </si>
  <si>
    <t>%prac</t>
  </si>
  <si>
    <t>Rohan Kothari</t>
  </si>
  <si>
    <t>E123456</t>
  </si>
  <si>
    <t>Date</t>
  </si>
  <si>
    <t>Sept-2018</t>
  </si>
  <si>
    <t>session2</t>
  </si>
  <si>
    <t>session3</t>
  </si>
  <si>
    <t>2000499.jpg</t>
  </si>
  <si>
    <t>Date of Issue</t>
  </si>
  <si>
    <t>21-03-2023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</si>
</sst>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  <font>
      <b/>
      <sz val="18"/>
      <color theme="3"/>
      <name val="Cambria"/>
      <family val="2"/>
      <scheme val="maj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1" fillId="0" borderId="0"/>
    <xf numFmtId="0" fontId="18" fillId="0" borderId="0"/>
    <xf numFmtId="0" fontId="19" fillId="0" borderId="0"/>
    <xf numFmtId="0" fontId="18" fillId="0" borderId="0"/>
  </cellStyleXfs>
  <cellXfs count="7">
    <xf numFmtId="0" fontId="0" fillId="0" borderId="0" xfId="0"/>
    <xf numFmtId="1" fontId="0" fillId="0" borderId="0" xfId="0" applyNumberFormat="1" applyAlignment="1">
      <alignment horizontal="left"/>
    </xf>
    <xf numFmtId="2" fontId="0" fillId="0" borderId="0" xfId="0" applyNumberFormat="1"/>
    <xf numFmtId="49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  <xf numFmtId="49" fontId="0" fillId="0" borderId="0" xfId="0" applyNumberFormat="1" applyAlignment="1">
      <alignment horizontal="left"/>
    </xf>
  </cellXfs>
  <cellStyles count="5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2 2" xfId="43" xr:uid="{00000000-0005-0000-0000-000026000000}"/>
    <cellStyle name="Normal 2 2 2" xfId="46" xr:uid="{00000000-0005-0000-0000-000027000000}"/>
    <cellStyle name="Normal 2 3" xfId="47" xr:uid="{00000000-0005-0000-0000-000028000000}"/>
    <cellStyle name="Normal 2 3 2" xfId="48" xr:uid="{00000000-0005-0000-0000-000029000000}"/>
    <cellStyle name="Normal 5" xfId="49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itle 2" xfId="44" xr:uid="{00000000-0005-0000-0000-00002E000000}"/>
    <cellStyle name="Title 3" xfId="45" xr:uid="{00000000-0005-0000-0000-00002F000000}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52</xdr:col>
      <xdr:colOff>0</xdr:colOff>
      <xdr:row>1</xdr:row>
      <xdr:rowOff>0</xdr:rowOff>
    </xdr:from>
    <xdr:ext cx="914400" cy="257175"/>
    <xdr:pic>
      <xdr:nvPicPr>
        <xdr:cNvPr id="2" name="Picture 337" hidden="1">
          <a:extLst>
            <a:ext uri="{FF2B5EF4-FFF2-40B4-BE49-F238E27FC236}">
              <a16:creationId xmlns:a16="http://schemas.microsoft.com/office/drawing/2014/main" id="{92CF411E-9889-451A-93F1-678D4CCA048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190500"/>
          <a:ext cx="9144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52</xdr:col>
      <xdr:colOff>0</xdr:colOff>
      <xdr:row>1</xdr:row>
      <xdr:rowOff>0</xdr:rowOff>
    </xdr:from>
    <xdr:ext cx="914400" cy="257175"/>
    <xdr:pic>
      <xdr:nvPicPr>
        <xdr:cNvPr id="3" name="Picture 28" hidden="1">
          <a:extLst>
            <a:ext uri="{FF2B5EF4-FFF2-40B4-BE49-F238E27FC236}">
              <a16:creationId xmlns:a16="http://schemas.microsoft.com/office/drawing/2014/main" id="{1CFD6369-9A24-4968-B4F2-AAFB40A2C23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190500"/>
          <a:ext cx="9144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52</xdr:col>
      <xdr:colOff>0</xdr:colOff>
      <xdr:row>1</xdr:row>
      <xdr:rowOff>0</xdr:rowOff>
    </xdr:from>
    <xdr:ext cx="914400" cy="257175"/>
    <xdr:pic>
      <xdr:nvPicPr>
        <xdr:cNvPr id="4" name="Picture 19" hidden="1">
          <a:extLst>
            <a:ext uri="{FF2B5EF4-FFF2-40B4-BE49-F238E27FC236}">
              <a16:creationId xmlns:a16="http://schemas.microsoft.com/office/drawing/2014/main" id="{4FCFCAED-4422-43EA-BAC8-65323D0C9E5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190500"/>
          <a:ext cx="9144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52</xdr:col>
      <xdr:colOff>0</xdr:colOff>
      <xdr:row>1</xdr:row>
      <xdr:rowOff>0</xdr:rowOff>
    </xdr:from>
    <xdr:ext cx="914400" cy="257175"/>
    <xdr:pic>
      <xdr:nvPicPr>
        <xdr:cNvPr id="5" name="Picture 28" hidden="1">
          <a:extLst>
            <a:ext uri="{FF2B5EF4-FFF2-40B4-BE49-F238E27FC236}">
              <a16:creationId xmlns:a16="http://schemas.microsoft.com/office/drawing/2014/main" id="{3E0EAA8C-8767-4363-AD0C-76FA77BB6A1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190500"/>
          <a:ext cx="9144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52</xdr:col>
      <xdr:colOff>0</xdr:colOff>
      <xdr:row>1</xdr:row>
      <xdr:rowOff>0</xdr:rowOff>
    </xdr:from>
    <xdr:ext cx="914400" cy="257175"/>
    <xdr:pic>
      <xdr:nvPicPr>
        <xdr:cNvPr id="6" name="Picture 19" hidden="1">
          <a:extLst>
            <a:ext uri="{FF2B5EF4-FFF2-40B4-BE49-F238E27FC236}">
              <a16:creationId xmlns:a16="http://schemas.microsoft.com/office/drawing/2014/main" id="{D852F26F-6C30-43D9-986F-FFD4F5C964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190500"/>
          <a:ext cx="9144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52</xdr:col>
      <xdr:colOff>0</xdr:colOff>
      <xdr:row>1</xdr:row>
      <xdr:rowOff>0</xdr:rowOff>
    </xdr:from>
    <xdr:ext cx="914400" cy="257175"/>
    <xdr:pic>
      <xdr:nvPicPr>
        <xdr:cNvPr id="7" name="Picture 342" hidden="1">
          <a:extLst>
            <a:ext uri="{FF2B5EF4-FFF2-40B4-BE49-F238E27FC236}">
              <a16:creationId xmlns:a16="http://schemas.microsoft.com/office/drawing/2014/main" id="{5391498C-64AC-40A2-8819-EEC308F963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190500"/>
          <a:ext cx="9144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J2"/>
  <sheetViews>
    <sheetView tabSelected="1" topLeftCell="ET1" zoomScaleNormal="100" workbookViewId="0">
      <selection activeCell="FJ3" sqref="FJ3"/>
    </sheetView>
  </sheetViews>
  <sheetFormatPr defaultRowHeight="15" x14ac:dyDescent="0.25"/>
  <cols>
    <col min="1" max="1" width="8.5703125" style="4" bestFit="1" customWidth="1"/>
    <col min="2" max="2" width="13.5703125" bestFit="1" customWidth="1"/>
    <col min="3" max="3" width="7.85546875" bestFit="1" customWidth="1"/>
    <col min="4" max="4" width="15.42578125" bestFit="1" customWidth="1"/>
    <col min="5" max="5" width="12" bestFit="1" customWidth="1"/>
    <col min="6" max="6" width="17.7109375" bestFit="1" customWidth="1"/>
    <col min="7" max="7" width="8.7109375" bestFit="1" customWidth="1"/>
    <col min="8" max="8" width="9.7109375" bestFit="1" customWidth="1"/>
    <col min="9" max="9" width="29" bestFit="1" customWidth="1"/>
    <col min="10" max="10" width="14.140625" bestFit="1" customWidth="1"/>
    <col min="11" max="11" width="13.5703125" bestFit="1" customWidth="1"/>
    <col min="12" max="12" width="15.42578125" bestFit="1" customWidth="1"/>
    <col min="13" max="13" width="14.85546875" bestFit="1" customWidth="1"/>
    <col min="14" max="14" width="14.42578125" bestFit="1" customWidth="1"/>
    <col min="15" max="15" width="13.85546875" bestFit="1" customWidth="1"/>
    <col min="16" max="16" width="15.7109375" bestFit="1" customWidth="1"/>
    <col min="17" max="17" width="15.140625" bestFit="1" customWidth="1"/>
    <col min="18" max="18" width="10.7109375" style="1" bestFit="1" customWidth="1"/>
    <col min="19" max="19" width="10.140625" style="1" bestFit="1" customWidth="1"/>
    <col min="20" max="20" width="8.7109375" style="1" bestFit="1" customWidth="1"/>
    <col min="21" max="21" width="7" bestFit="1" customWidth="1"/>
    <col min="22" max="22" width="27.42578125" bestFit="1" customWidth="1"/>
    <col min="23" max="23" width="14.140625" bestFit="1" customWidth="1"/>
    <col min="24" max="24" width="13.5703125" bestFit="1" customWidth="1"/>
    <col min="25" max="25" width="15.42578125" bestFit="1" customWidth="1"/>
    <col min="26" max="26" width="14.85546875" bestFit="1" customWidth="1"/>
    <col min="27" max="27" width="14.42578125" bestFit="1" customWidth="1"/>
    <col min="28" max="28" width="13.85546875" bestFit="1" customWidth="1"/>
    <col min="29" max="29" width="15.7109375" bestFit="1" customWidth="1"/>
    <col min="30" max="30" width="15.140625" bestFit="1" customWidth="1"/>
    <col min="31" max="31" width="10.7109375" style="1" bestFit="1" customWidth="1"/>
    <col min="32" max="32" width="10.140625" style="1" bestFit="1" customWidth="1"/>
    <col min="33" max="33" width="8.7109375" style="1" bestFit="1" customWidth="1"/>
    <col min="34" max="34" width="7" bestFit="1" customWidth="1"/>
    <col min="35" max="35" width="27.85546875" bestFit="1" customWidth="1"/>
    <col min="36" max="36" width="14.140625" bestFit="1" customWidth="1"/>
    <col min="37" max="37" width="13.5703125" bestFit="1" customWidth="1"/>
    <col min="38" max="38" width="15.42578125" bestFit="1" customWidth="1"/>
    <col min="39" max="39" width="14.85546875" bestFit="1" customWidth="1"/>
    <col min="40" max="40" width="14.42578125" bestFit="1" customWidth="1"/>
    <col min="41" max="41" width="13.85546875" bestFit="1" customWidth="1"/>
    <col min="42" max="42" width="15.7109375" bestFit="1" customWidth="1"/>
    <col min="43" max="43" width="15.140625" bestFit="1" customWidth="1"/>
    <col min="44" max="44" width="10.7109375" style="1" bestFit="1" customWidth="1"/>
    <col min="45" max="45" width="10.140625" style="1" bestFit="1" customWidth="1"/>
    <col min="46" max="46" width="8.7109375" style="1" bestFit="1" customWidth="1"/>
    <col min="47" max="47" width="7" bestFit="1" customWidth="1"/>
    <col min="48" max="48" width="56.85546875" bestFit="1" customWidth="1"/>
    <col min="49" max="49" width="14.140625" bestFit="1" customWidth="1"/>
    <col min="50" max="50" width="13.5703125" bestFit="1" customWidth="1"/>
    <col min="51" max="51" width="15.42578125" bestFit="1" customWidth="1"/>
    <col min="52" max="52" width="14.85546875" bestFit="1" customWidth="1"/>
    <col min="53" max="53" width="14.42578125" bestFit="1" customWidth="1"/>
    <col min="54" max="54" width="13.85546875" bestFit="1" customWidth="1"/>
    <col min="55" max="55" width="15.7109375" bestFit="1" customWidth="1"/>
    <col min="56" max="56" width="15.140625" bestFit="1" customWidth="1"/>
    <col min="57" max="57" width="10.7109375" style="1" bestFit="1" customWidth="1"/>
    <col min="58" max="58" width="10.140625" style="1" bestFit="1" customWidth="1"/>
    <col min="59" max="59" width="8.7109375" style="1" bestFit="1" customWidth="1"/>
    <col min="60" max="60" width="7" bestFit="1" customWidth="1"/>
    <col min="61" max="61" width="52.5703125" bestFit="1" customWidth="1"/>
    <col min="62" max="62" width="14.140625" bestFit="1" customWidth="1"/>
    <col min="63" max="63" width="13.5703125" bestFit="1" customWidth="1"/>
    <col min="64" max="64" width="15.42578125" bestFit="1" customWidth="1"/>
    <col min="65" max="65" width="14.85546875" bestFit="1" customWidth="1"/>
    <col min="66" max="66" width="14.42578125" bestFit="1" customWidth="1"/>
    <col min="67" max="67" width="13.85546875" bestFit="1" customWidth="1"/>
    <col min="68" max="68" width="15.7109375" bestFit="1" customWidth="1"/>
    <col min="69" max="69" width="15.140625" bestFit="1" customWidth="1"/>
    <col min="70" max="70" width="10.7109375" style="1" bestFit="1" customWidth="1"/>
    <col min="71" max="71" width="10.140625" style="1" bestFit="1" customWidth="1"/>
    <col min="72" max="72" width="8.7109375" style="1" bestFit="1" customWidth="1"/>
    <col min="73" max="73" width="7" bestFit="1" customWidth="1"/>
    <col min="74" max="74" width="8.5703125" bestFit="1" customWidth="1"/>
    <col min="75" max="75" width="14.140625" bestFit="1" customWidth="1"/>
    <col min="76" max="76" width="13.5703125" bestFit="1" customWidth="1"/>
    <col min="77" max="77" width="15.42578125" bestFit="1" customWidth="1"/>
    <col min="78" max="78" width="14.85546875" bestFit="1" customWidth="1"/>
    <col min="79" max="79" width="14.42578125" bestFit="1" customWidth="1"/>
    <col min="80" max="80" width="13.85546875" bestFit="1" customWidth="1"/>
    <col min="81" max="81" width="15.7109375" bestFit="1" customWidth="1"/>
    <col min="82" max="82" width="15.140625" bestFit="1" customWidth="1"/>
    <col min="83" max="83" width="10.7109375" bestFit="1" customWidth="1"/>
    <col min="84" max="84" width="10.140625" bestFit="1" customWidth="1"/>
    <col min="85" max="85" width="8.7109375" bestFit="1" customWidth="1"/>
    <col min="86" max="86" width="7" bestFit="1" customWidth="1"/>
    <col min="87" max="87" width="8.5703125" bestFit="1" customWidth="1"/>
    <col min="88" max="88" width="14.140625" bestFit="1" customWidth="1"/>
    <col min="89" max="89" width="13.5703125" bestFit="1" customWidth="1"/>
    <col min="90" max="90" width="15.42578125" bestFit="1" customWidth="1"/>
    <col min="91" max="91" width="14.85546875" bestFit="1" customWidth="1"/>
    <col min="92" max="92" width="14.42578125" bestFit="1" customWidth="1"/>
    <col min="93" max="93" width="13.85546875" bestFit="1" customWidth="1"/>
    <col min="94" max="94" width="15.7109375" bestFit="1" customWidth="1"/>
    <col min="95" max="95" width="15.140625" bestFit="1" customWidth="1"/>
    <col min="96" max="96" width="10.7109375" bestFit="1" customWidth="1"/>
    <col min="97" max="97" width="10.140625" bestFit="1" customWidth="1"/>
    <col min="98" max="98" width="8.7109375" bestFit="1" customWidth="1"/>
    <col min="99" max="99" width="7" bestFit="1" customWidth="1"/>
    <col min="100" max="100" width="8.5703125" bestFit="1" customWidth="1"/>
    <col min="101" max="101" width="14.140625" bestFit="1" customWidth="1"/>
    <col min="102" max="102" width="13.5703125" bestFit="1" customWidth="1"/>
    <col min="103" max="103" width="15.42578125" bestFit="1" customWidth="1"/>
    <col min="104" max="104" width="14.85546875" bestFit="1" customWidth="1"/>
    <col min="105" max="105" width="14.42578125" bestFit="1" customWidth="1"/>
    <col min="106" max="106" width="13.85546875" bestFit="1" customWidth="1"/>
    <col min="107" max="107" width="15.7109375" bestFit="1" customWidth="1"/>
    <col min="108" max="108" width="15.140625" bestFit="1" customWidth="1"/>
    <col min="109" max="109" width="10.7109375" bestFit="1" customWidth="1"/>
    <col min="110" max="110" width="10.140625" bestFit="1" customWidth="1"/>
    <col min="111" max="111" width="8.7109375" bestFit="1" customWidth="1"/>
    <col min="112" max="112" width="7" bestFit="1" customWidth="1"/>
    <col min="113" max="113" width="8.5703125" bestFit="1" customWidth="1"/>
    <col min="114" max="114" width="14.140625" bestFit="1" customWidth="1"/>
    <col min="115" max="115" width="13.5703125" bestFit="1" customWidth="1"/>
    <col min="116" max="116" width="15.42578125" bestFit="1" customWidth="1"/>
    <col min="117" max="117" width="14.85546875" bestFit="1" customWidth="1"/>
    <col min="118" max="118" width="14.42578125" bestFit="1" customWidth="1"/>
    <col min="119" max="119" width="13.85546875" bestFit="1" customWidth="1"/>
    <col min="120" max="120" width="15.7109375" bestFit="1" customWidth="1"/>
    <col min="121" max="121" width="15.140625" bestFit="1" customWidth="1"/>
    <col min="122" max="122" width="10.7109375" bestFit="1" customWidth="1"/>
    <col min="123" max="123" width="10.140625" bestFit="1" customWidth="1"/>
    <col min="124" max="124" width="8.7109375" bestFit="1" customWidth="1"/>
    <col min="125" max="125" width="7" bestFit="1" customWidth="1"/>
    <col min="126" max="126" width="9.5703125" bestFit="1" customWidth="1"/>
    <col min="127" max="127" width="15.140625" bestFit="1" customWidth="1"/>
    <col min="128" max="128" width="14.5703125" bestFit="1" customWidth="1"/>
    <col min="129" max="129" width="16.42578125" bestFit="1" customWidth="1"/>
    <col min="130" max="130" width="15.85546875" bestFit="1" customWidth="1"/>
    <col min="131" max="131" width="15.42578125" bestFit="1" customWidth="1"/>
    <col min="132" max="132" width="14.85546875" bestFit="1" customWidth="1"/>
    <col min="133" max="133" width="16.7109375" bestFit="1" customWidth="1"/>
    <col min="134" max="134" width="16.140625" bestFit="1" customWidth="1"/>
    <col min="135" max="135" width="11.7109375" bestFit="1" customWidth="1"/>
    <col min="136" max="136" width="11.140625" bestFit="1" customWidth="1"/>
    <col min="137" max="137" width="9.7109375" bestFit="1" customWidth="1"/>
    <col min="138" max="138" width="8" bestFit="1" customWidth="1"/>
    <col min="139" max="139" width="9.5703125" bestFit="1" customWidth="1"/>
    <col min="140" max="140" width="15.140625" bestFit="1" customWidth="1"/>
    <col min="141" max="141" width="14.5703125" bestFit="1" customWidth="1"/>
    <col min="142" max="142" width="16.42578125" bestFit="1" customWidth="1"/>
    <col min="143" max="143" width="15.85546875" bestFit="1" customWidth="1"/>
    <col min="144" max="144" width="15.42578125" bestFit="1" customWidth="1"/>
    <col min="145" max="145" width="14.85546875" bestFit="1" customWidth="1"/>
    <col min="146" max="146" width="16.7109375" bestFit="1" customWidth="1"/>
    <col min="147" max="147" width="16.140625" bestFit="1" customWidth="1"/>
    <col min="148" max="148" width="11.7109375" bestFit="1" customWidth="1"/>
    <col min="149" max="149" width="11.140625" bestFit="1" customWidth="1"/>
    <col min="150" max="150" width="9.7109375" bestFit="1" customWidth="1"/>
    <col min="151" max="151" width="8" bestFit="1" customWidth="1"/>
    <col min="152" max="152" width="10" bestFit="1" customWidth="1"/>
    <col min="153" max="153" width="13.85546875" bestFit="1" customWidth="1"/>
    <col min="154" max="154" width="6.5703125" style="2" bestFit="1" customWidth="1"/>
    <col min="155" max="155" width="9" style="3" bestFit="1" customWidth="1"/>
    <col min="156" max="156" width="12.140625" style="3" customWidth="1"/>
    <col min="157" max="157" width="16.28515625" customWidth="1"/>
    <col min="164" max="164" width="9.140625" style="3"/>
    <col min="165" max="165" width="12.140625" customWidth="1"/>
    <col min="166" max="166" width="12.28515625" customWidth="1"/>
  </cols>
  <sheetData>
    <row r="1" spans="1:166" s="6" customFormat="1" x14ac:dyDescent="0.25">
      <c r="A1" s="3" t="s">
        <v>0</v>
      </c>
      <c r="B1" s="1" t="s">
        <v>1</v>
      </c>
      <c r="C1" s="1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  <c r="DD1" s="6" t="s">
        <v>107</v>
      </c>
      <c r="DE1" s="6" t="s">
        <v>108</v>
      </c>
      <c r="DF1" s="6" t="s">
        <v>109</v>
      </c>
      <c r="DG1" s="6" t="s">
        <v>110</v>
      </c>
      <c r="DH1" s="6" t="s">
        <v>111</v>
      </c>
      <c r="DI1" s="6" t="s">
        <v>112</v>
      </c>
      <c r="DJ1" s="6" t="s">
        <v>113</v>
      </c>
      <c r="DK1" s="6" t="s">
        <v>114</v>
      </c>
      <c r="DL1" s="6" t="s">
        <v>115</v>
      </c>
      <c r="DM1" s="6" t="s">
        <v>116</v>
      </c>
      <c r="DN1" s="6" t="s">
        <v>117</v>
      </c>
      <c r="DO1" s="6" t="s">
        <v>118</v>
      </c>
      <c r="DP1" s="6" t="s">
        <v>119</v>
      </c>
      <c r="DQ1" s="6" t="s">
        <v>120</v>
      </c>
      <c r="DR1" s="6" t="s">
        <v>121</v>
      </c>
      <c r="DS1" s="6" t="s">
        <v>122</v>
      </c>
      <c r="DT1" s="6" t="s">
        <v>123</v>
      </c>
      <c r="DU1" s="6" t="s">
        <v>124</v>
      </c>
      <c r="DV1" s="6" t="s">
        <v>125</v>
      </c>
      <c r="DW1" s="6" t="s">
        <v>126</v>
      </c>
      <c r="DX1" s="6" t="s">
        <v>127</v>
      </c>
      <c r="DY1" s="6" t="s">
        <v>128</v>
      </c>
      <c r="DZ1" s="6" t="s">
        <v>129</v>
      </c>
      <c r="EA1" s="6" t="s">
        <v>130</v>
      </c>
      <c r="EB1" s="6" t="s">
        <v>131</v>
      </c>
      <c r="EC1" s="6" t="s">
        <v>132</v>
      </c>
      <c r="ED1" s="6" t="s">
        <v>133</v>
      </c>
      <c r="EE1" s="6" t="s">
        <v>134</v>
      </c>
      <c r="EF1" s="6" t="s">
        <v>135</v>
      </c>
      <c r="EG1" s="6" t="s">
        <v>136</v>
      </c>
      <c r="EH1" s="6" t="s">
        <v>137</v>
      </c>
      <c r="EI1" s="6" t="s">
        <v>138</v>
      </c>
      <c r="EJ1" s="6" t="s">
        <v>139</v>
      </c>
      <c r="EK1" s="6" t="s">
        <v>142</v>
      </c>
      <c r="EL1" s="6" t="s">
        <v>143</v>
      </c>
      <c r="EM1" s="6" t="s">
        <v>144</v>
      </c>
      <c r="EN1" s="6" t="s">
        <v>145</v>
      </c>
      <c r="EO1" s="6" t="s">
        <v>140</v>
      </c>
      <c r="EP1" s="6" t="s">
        <v>146</v>
      </c>
      <c r="EQ1" s="6" t="s">
        <v>147</v>
      </c>
      <c r="ER1" s="6" t="s">
        <v>148</v>
      </c>
      <c r="ES1" s="6" t="s">
        <v>149</v>
      </c>
      <c r="ET1" s="6" t="s">
        <v>184</v>
      </c>
      <c r="EU1" s="6" t="s">
        <v>150</v>
      </c>
      <c r="EV1" s="6" t="s">
        <v>151</v>
      </c>
      <c r="EW1" s="6" t="s">
        <v>152</v>
      </c>
      <c r="EX1" s="6" t="s">
        <v>153</v>
      </c>
      <c r="EY1" s="6" t="s">
        <v>185</v>
      </c>
      <c r="EZ1" s="6" t="s">
        <v>154</v>
      </c>
      <c r="FA1" s="6" t="s">
        <v>155</v>
      </c>
      <c r="FB1" s="6" t="s">
        <v>156</v>
      </c>
      <c r="FC1" s="6" t="s">
        <v>157</v>
      </c>
      <c r="FD1" s="6" t="s">
        <v>178</v>
      </c>
      <c r="FE1" s="6" t="s">
        <v>179</v>
      </c>
      <c r="FF1" s="6" t="s">
        <v>158</v>
      </c>
      <c r="FG1" s="6" t="s">
        <v>159</v>
      </c>
      <c r="FH1" s="6" t="s">
        <v>182</v>
      </c>
      <c r="FI1" s="3" t="s">
        <v>141</v>
      </c>
      <c r="FJ1" s="3" t="s">
        <v>187</v>
      </c>
    </row>
    <row r="2" spans="1:166" s="1" customFormat="1" x14ac:dyDescent="0.25">
      <c r="A2" s="5">
        <v>44568</v>
      </c>
      <c r="B2" s="5" t="s">
        <v>181</v>
      </c>
      <c r="C2" s="5" t="s">
        <v>160</v>
      </c>
      <c r="D2" s="5" t="s">
        <v>180</v>
      </c>
      <c r="E2" s="4" t="s">
        <v>161</v>
      </c>
      <c r="F2" s="4" t="s">
        <v>162</v>
      </c>
      <c r="G2" s="1" t="s">
        <v>163</v>
      </c>
      <c r="H2" s="1" t="s">
        <v>164</v>
      </c>
      <c r="I2" s="1" t="s">
        <v>165</v>
      </c>
      <c r="J2" s="1">
        <v>20</v>
      </c>
      <c r="K2" s="1">
        <v>16</v>
      </c>
      <c r="L2" s="4" t="s">
        <v>166</v>
      </c>
      <c r="M2" s="4" t="s">
        <v>166</v>
      </c>
      <c r="N2" s="1">
        <v>80</v>
      </c>
      <c r="O2" s="1">
        <v>60</v>
      </c>
      <c r="P2" s="4" t="s">
        <v>166</v>
      </c>
      <c r="Q2" s="4" t="s">
        <v>166</v>
      </c>
      <c r="R2" s="1">
        <v>100</v>
      </c>
      <c r="S2" s="1">
        <f>SUM(O2,K2,M2,Q2)</f>
        <v>76</v>
      </c>
      <c r="T2" s="1" t="s">
        <v>167</v>
      </c>
      <c r="U2" s="1" t="s">
        <v>168</v>
      </c>
      <c r="V2" s="1">
        <v>20</v>
      </c>
      <c r="W2" s="1">
        <v>15</v>
      </c>
      <c r="X2" s="4" t="s">
        <v>166</v>
      </c>
      <c r="Y2" s="4" t="s">
        <v>166</v>
      </c>
      <c r="Z2" s="1">
        <v>80</v>
      </c>
      <c r="AA2" s="1">
        <v>58</v>
      </c>
      <c r="AB2" s="4" t="s">
        <v>166</v>
      </c>
      <c r="AC2" s="4" t="s">
        <v>166</v>
      </c>
      <c r="AD2" s="1">
        <v>100</v>
      </c>
      <c r="AE2" s="1">
        <f>SUM(AA2,W2,Y2,AC2)</f>
        <v>73</v>
      </c>
      <c r="AF2" s="1" t="s">
        <v>167</v>
      </c>
      <c r="AG2" s="1" t="s">
        <v>169</v>
      </c>
      <c r="AH2" s="1">
        <v>20</v>
      </c>
      <c r="AI2" s="1">
        <v>17</v>
      </c>
      <c r="AJ2" s="4" t="s">
        <v>166</v>
      </c>
      <c r="AK2" s="4" t="s">
        <v>166</v>
      </c>
      <c r="AL2" s="1">
        <v>80</v>
      </c>
      <c r="AM2" s="1">
        <v>66</v>
      </c>
      <c r="AN2" s="4" t="s">
        <v>166</v>
      </c>
      <c r="AO2" s="4" t="s">
        <v>166</v>
      </c>
      <c r="AP2" s="1">
        <v>100</v>
      </c>
      <c r="AQ2" s="1">
        <f>SUM(AM2,AI2,AK2,AO2)</f>
        <v>83</v>
      </c>
      <c r="AR2" s="1" t="s">
        <v>167</v>
      </c>
      <c r="AS2" s="1" t="s">
        <v>170</v>
      </c>
      <c r="AT2" s="1">
        <v>20</v>
      </c>
      <c r="AU2" s="1">
        <v>14</v>
      </c>
      <c r="AV2" s="4" t="s">
        <v>166</v>
      </c>
      <c r="AW2" s="4" t="s">
        <v>166</v>
      </c>
      <c r="AX2" s="1">
        <v>80</v>
      </c>
      <c r="AY2" s="1">
        <v>62</v>
      </c>
      <c r="AZ2" s="4" t="s">
        <v>166</v>
      </c>
      <c r="BA2" s="4" t="s">
        <v>166</v>
      </c>
      <c r="BB2" s="1">
        <v>100</v>
      </c>
      <c r="BC2" s="1">
        <f>SUM(AY2,AU2,AW2,BA2)</f>
        <v>76</v>
      </c>
      <c r="BD2" s="1" t="s">
        <v>167</v>
      </c>
      <c r="BE2" s="1" t="s">
        <v>171</v>
      </c>
      <c r="BF2" s="1">
        <v>20</v>
      </c>
      <c r="BG2" s="1">
        <v>15</v>
      </c>
      <c r="BH2" s="4" t="s">
        <v>166</v>
      </c>
      <c r="BI2" s="4" t="s">
        <v>166</v>
      </c>
      <c r="BJ2" s="1">
        <v>80</v>
      </c>
      <c r="BK2" s="1">
        <v>63</v>
      </c>
      <c r="BL2" s="4" t="s">
        <v>166</v>
      </c>
      <c r="BM2" s="4" t="s">
        <v>166</v>
      </c>
      <c r="BN2" s="1">
        <v>100</v>
      </c>
      <c r="BO2" s="1">
        <f>SUM(BK2,BG2,BI2,BM2)</f>
        <v>78</v>
      </c>
      <c r="BP2" s="1" t="s">
        <v>167</v>
      </c>
      <c r="BQ2" s="1" t="s">
        <v>172</v>
      </c>
      <c r="BR2" s="4" t="s">
        <v>166</v>
      </c>
      <c r="BS2" s="4" t="s">
        <v>166</v>
      </c>
      <c r="BT2" s="1">
        <v>25</v>
      </c>
      <c r="BU2" s="1">
        <v>18</v>
      </c>
      <c r="BV2" s="4" t="s">
        <v>166</v>
      </c>
      <c r="BW2" s="4" t="s">
        <v>166</v>
      </c>
      <c r="BX2" s="1">
        <v>25</v>
      </c>
      <c r="BY2" s="1">
        <v>17</v>
      </c>
      <c r="BZ2" s="1">
        <v>50</v>
      </c>
      <c r="CA2" s="1">
        <f>SUM(BW2,BS2,BU2,BY2)</f>
        <v>35</v>
      </c>
      <c r="CB2" s="1" t="s">
        <v>167</v>
      </c>
      <c r="CC2" s="1" t="s">
        <v>173</v>
      </c>
      <c r="CD2" s="4" t="s">
        <v>166</v>
      </c>
      <c r="CE2" s="4" t="s">
        <v>166</v>
      </c>
      <c r="CF2" s="4" t="s">
        <v>166</v>
      </c>
      <c r="CG2" s="4" t="s">
        <v>166</v>
      </c>
      <c r="CH2" s="4" t="s">
        <v>166</v>
      </c>
      <c r="CI2" s="4" t="s">
        <v>166</v>
      </c>
      <c r="CJ2" s="1">
        <v>50</v>
      </c>
      <c r="CK2" s="1">
        <v>40</v>
      </c>
      <c r="CL2" s="1">
        <v>50</v>
      </c>
      <c r="CM2" s="1">
        <f>SUM(CI2,CE2,CG2,CK2)</f>
        <v>40</v>
      </c>
      <c r="CN2" s="1" t="s">
        <v>167</v>
      </c>
      <c r="CO2" s="1" t="s">
        <v>174</v>
      </c>
      <c r="CP2" s="4" t="s">
        <v>166</v>
      </c>
      <c r="CQ2" s="4" t="s">
        <v>166</v>
      </c>
      <c r="CR2" s="1">
        <v>50</v>
      </c>
      <c r="CS2" s="1">
        <v>40</v>
      </c>
      <c r="CT2" s="4" t="s">
        <v>166</v>
      </c>
      <c r="CU2" s="4" t="s">
        <v>166</v>
      </c>
      <c r="CV2" s="1">
        <v>150</v>
      </c>
      <c r="CW2" s="1">
        <v>120</v>
      </c>
      <c r="CX2" s="1">
        <v>200</v>
      </c>
      <c r="CY2" s="1">
        <f>SUM(CU2,CQ2,CS2,CW2)</f>
        <v>160</v>
      </c>
      <c r="CZ2" s="1" t="s">
        <v>167</v>
      </c>
      <c r="EK2" s="1">
        <f>SUM(S2,AE2,AQ2,BC2,BO2)</f>
        <v>386</v>
      </c>
      <c r="EL2" s="1">
        <f>SUM(CA2,CM2,CY2)</f>
        <v>235</v>
      </c>
      <c r="EM2" s="1">
        <f>SUM(R2,AD2,AP2,BB2,BN2,)</f>
        <v>500</v>
      </c>
      <c r="EN2" s="1">
        <f>SUM(BZ2,CL2,CX2,)</f>
        <v>300</v>
      </c>
      <c r="EO2" s="1" t="s">
        <v>175</v>
      </c>
      <c r="EP2" s="1">
        <v>600</v>
      </c>
      <c r="EQ2" s="1">
        <v>502</v>
      </c>
      <c r="ER2" s="1">
        <v>200</v>
      </c>
      <c r="ES2" s="1">
        <v>182</v>
      </c>
      <c r="ET2" s="1" t="s">
        <v>176</v>
      </c>
      <c r="EU2" s="1">
        <v>500</v>
      </c>
      <c r="EV2" s="1">
        <f>EK2</f>
        <v>386</v>
      </c>
      <c r="EW2" s="1">
        <v>300</v>
      </c>
      <c r="EX2" s="1">
        <f>EL2</f>
        <v>235</v>
      </c>
      <c r="EY2" s="1" t="s">
        <v>164</v>
      </c>
      <c r="EZ2" s="1">
        <f t="shared" ref="EZ2" si="0">SUM(EP2,EU2)</f>
        <v>1100</v>
      </c>
      <c r="FA2" s="1">
        <f>SUM(EQ2,EV2)</f>
        <v>888</v>
      </c>
      <c r="FB2" s="1">
        <f t="shared" ref="FB2:FC2" si="1">SUM(ER2,EW2)</f>
        <v>500</v>
      </c>
      <c r="FC2" s="1">
        <f t="shared" si="1"/>
        <v>417</v>
      </c>
      <c r="FD2">
        <v>80.73</v>
      </c>
      <c r="FE2">
        <v>83.4</v>
      </c>
      <c r="FF2" s="1" t="s">
        <v>177</v>
      </c>
      <c r="FG2" s="1" t="s">
        <v>177</v>
      </c>
      <c r="FH2" s="6" t="s">
        <v>183</v>
      </c>
      <c r="FI2" t="s">
        <v>186</v>
      </c>
      <c r="FJ2" s="3" t="s">
        <v>188</v>
      </c>
    </row>
  </sheetData>
  <sortState xmlns:xlrd2="http://schemas.microsoft.com/office/spreadsheetml/2017/richdata2" ref="H4:GZ7">
    <sortCondition ref="N4:N7"/>
  </sortState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2023-03-21T11:22:25Z</dcterms:modified>
</cp:coreProperties>
</file>