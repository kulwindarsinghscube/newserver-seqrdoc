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trProps/ctrProp1.xml" ContentType="application/vnd.ms-excel.controlproperties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trProps/ctrProp2.xml" ContentType="application/vnd.ms-excel.controlproperties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trProps/ctrProp3.xml" ContentType="application/vnd.ms-excel.controlpropertie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trProps/ctrProp4.xml" ContentType="application/vnd.ms-excel.controlproperties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trProps/ctrProp5.xml" ContentType="application/vnd.ms-excel.controlproperties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trProps/ctrProp6.xml" ContentType="application/vnd.ms-excel.controlproperti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epika.nehra\Desktop\"/>
    </mc:Choice>
  </mc:AlternateContent>
  <bookViews>
    <workbookView xWindow="0" yWindow="0" windowWidth="20490" windowHeight="7755" activeTab="0"/>
  </bookViews>
  <sheets>
    <sheet name="Certificate" sheetId="1" r:id="rId3"/>
    <sheet name="Annexure - I" sheetId="5" r:id="rId4"/>
    <sheet name="Annexure - I Contd" sheetId="13" r:id="rId5"/>
    <sheet name="Annexure - IA" sheetId="10" r:id="rId6"/>
    <sheet name="Annexure IB &amp; II" sheetId="12" r:id="rId7"/>
    <sheet name="Annexure - III" sheetId="14" r:id="rId8"/>
    <sheet name="System" sheetId="4" state="hidden" r:id="rId9"/>
  </sheets>
  <definedNames>
    <definedName name="_xlnm.Print_Area" localSheetId="1">'Annexure - I'!$A$1:$AK$55</definedName>
    <definedName name="_xlnm.Print_Area" localSheetId="2">'Annexure - I Contd'!$A$1:$AK$52</definedName>
    <definedName name="_xlnm.Print_Area" localSheetId="3">'Annexure - IA'!$A$1:$AK$51</definedName>
    <definedName name="_xlnm.Print_Area" localSheetId="5">'Annexure - III'!$A$1:$AK$52</definedName>
    <definedName name="_xlnm.Print_Area" localSheetId="4">'Annexure IB &amp; II'!$A$1:$AK$52</definedName>
    <definedName name="_xlnm.Print_Area" localSheetId="0">Certificate!$A$1:$AK$49</definedName>
    <definedName name="wrn.RWREPORT." hidden="1">{#N/A,#N/A,TRUE,"Speedo";#N/A,#N/A,TRUE,"Weight";#N/A,#N/A,TRUE,"Odometer";#N/A,#N/A,TRUE,"Max. Speed"}</definedName>
  </definedNames>
  <calcPr calcId="152511"/>
</workbook>
</file>

<file path=xl/calcChain.xml><?xml version="1.0" encoding="utf-8"?>
<calcChain xmlns="http://schemas.openxmlformats.org/spreadsheetml/2006/main">
  <c r="U2" i="5" l="1"/>
</calcChain>
</file>

<file path=xl/sharedStrings.xml><?xml version="1.0" encoding="utf-8"?>
<sst xmlns="http://schemas.openxmlformats.org/spreadsheetml/2006/main" count="546" uniqueCount="381">
  <si>
    <t xml:space="preserve">FOR </t>
  </si>
  <si>
    <t>Effective From</t>
  </si>
  <si>
    <t>Date</t>
  </si>
  <si>
    <t>Cert</t>
  </si>
  <si>
    <t>Total</t>
  </si>
  <si>
    <t>AIS007_TAB_VER2_VALUES</t>
  </si>
  <si>
    <t>Value</t>
  </si>
  <si>
    <t>Approved</t>
  </si>
  <si>
    <t>NO</t>
  </si>
  <si>
    <t>No of Tables</t>
  </si>
  <si>
    <t>Name of the Table</t>
  </si>
  <si>
    <t>*</t>
  </si>
  <si>
    <t xml:space="preserve">CERTIFICATE  </t>
  </si>
  <si>
    <t>Sr. No.</t>
  </si>
  <si>
    <t>COMPLIANCE TO THE CENTRAL MOTOR VEHICLES RULES</t>
  </si>
  <si>
    <t>Engine Manufacturer</t>
  </si>
  <si>
    <t>Power</t>
  </si>
  <si>
    <t>Base Model</t>
  </si>
  <si>
    <t>Standards</t>
  </si>
  <si>
    <t>Notification</t>
  </si>
  <si>
    <t>Applicable CMVR</t>
  </si>
  <si>
    <t>12.11.2008</t>
  </si>
  <si>
    <t>DINESH TYAGI</t>
  </si>
  <si>
    <t>DIRECTOR</t>
  </si>
  <si>
    <t>Dwg</t>
  </si>
  <si>
    <t>Variants</t>
  </si>
  <si>
    <t>Table 7, 11</t>
  </si>
  <si>
    <t xml:space="preserve"> Date : </t>
  </si>
  <si>
    <t>Seating Capacity (incl driver)</t>
  </si>
  <si>
    <t>GVW (kg)</t>
  </si>
  <si>
    <t>Page 1 of</t>
  </si>
  <si>
    <t>120 (2)</t>
  </si>
  <si>
    <t>GSR 111(E)</t>
  </si>
  <si>
    <t>10.02.2004</t>
  </si>
  <si>
    <t>01.04.2005</t>
  </si>
  <si>
    <t>GSR 589(E)</t>
  </si>
  <si>
    <t>13.12.2004</t>
  </si>
  <si>
    <t>16.09.2005</t>
  </si>
  <si>
    <t>20.08.2007</t>
  </si>
  <si>
    <t>GSR 784(E)</t>
  </si>
  <si>
    <t>15.03.2012</t>
  </si>
  <si>
    <t>GSR 291(E)</t>
  </si>
  <si>
    <t>24.04.2014</t>
  </si>
  <si>
    <t>09.02.2016</t>
  </si>
  <si>
    <t>ANNEXURE - I</t>
  </si>
  <si>
    <t>ANNEXURE – I/
ANNEXURE – IA/
ANNEXURE – IB</t>
  </si>
  <si>
    <t>Rule No.</t>
  </si>
  <si>
    <t>(1), (2) &amp; (3)</t>
  </si>
  <si>
    <t>-</t>
  </si>
  <si>
    <t>(1) &amp; (2)</t>
  </si>
  <si>
    <t>Installation</t>
  </si>
  <si>
    <t>Silencers</t>
  </si>
  <si>
    <t>(1)</t>
  </si>
  <si>
    <t>Notified Dates</t>
  </si>
  <si>
    <t>Front</t>
  </si>
  <si>
    <t>Rear</t>
  </si>
  <si>
    <t>Overall dimension of motor vehicles</t>
  </si>
  <si>
    <t>Condition of tyres</t>
  </si>
  <si>
    <t>(1), (2), (4), (6) &amp; (7)</t>
  </si>
  <si>
    <t>Position of the indicator</t>
  </si>
  <si>
    <t>Fitment of reflectors</t>
  </si>
  <si>
    <t>Lamps</t>
  </si>
  <si>
    <t>Deflection of lights</t>
  </si>
  <si>
    <t>Use of red or white lights</t>
  </si>
  <si>
    <t>Prohibition of spotlights etc.</t>
  </si>
  <si>
    <t>Exhaust gases</t>
  </si>
  <si>
    <t>Location of exhaust pipes</t>
  </si>
  <si>
    <t>Speedometer</t>
  </si>
  <si>
    <t>Horns</t>
  </si>
  <si>
    <t xml:space="preserve">Performance </t>
  </si>
  <si>
    <t>Safety standards of components as applicable</t>
  </si>
  <si>
    <t>Specifications</t>
  </si>
  <si>
    <t>(2)</t>
  </si>
  <si>
    <t>Emission Report No.</t>
  </si>
  <si>
    <t>ICAT Ref No.</t>
  </si>
  <si>
    <t>Page 2 of</t>
  </si>
  <si>
    <t>21 (ii)</t>
  </si>
  <si>
    <t>Electromagnetic compatibility of motor vehicles</t>
  </si>
  <si>
    <t>Gradeability</t>
  </si>
  <si>
    <t>CMV Rule</t>
  </si>
  <si>
    <t>** Compliance needs to be established for Type approval /Conformity of Production for components, listed in the notification as per the specified dates.</t>
  </si>
  <si>
    <t>Plant :</t>
  </si>
  <si>
    <t>dB(A)</t>
  </si>
  <si>
    <t>ANNEXURE - IA</t>
  </si>
  <si>
    <t>Hydraulic brake hose (if fitted)</t>
  </si>
  <si>
    <t>Hydraulic brake fluid (if fitted)</t>
  </si>
  <si>
    <t>Automobiles lamps (bulbs)</t>
  </si>
  <si>
    <t>Tell tale symbols and control</t>
  </si>
  <si>
    <t>Fuel consumption (on driving cycle)</t>
  </si>
  <si>
    <t>Carbon balance method</t>
  </si>
  <si>
    <t xml:space="preserve">The procedure for Type Approval and establishing Conformity of Production for components  </t>
  </si>
  <si>
    <t>Page 3 of</t>
  </si>
  <si>
    <t>Page 4 of</t>
  </si>
  <si>
    <t>124 (4)</t>
  </si>
  <si>
    <t>Definitions – category of vehicle</t>
  </si>
  <si>
    <t>ANNEXURE - II</t>
  </si>
  <si>
    <t>ANNEXURE - IB</t>
  </si>
  <si>
    <t>ANNEXURE - III</t>
  </si>
  <si>
    <t>Make</t>
  </si>
  <si>
    <t xml:space="preserve">Horn Inst. Report No. </t>
  </si>
  <si>
    <t>Compliance Verified For</t>
  </si>
  <si>
    <t>(1) &amp; (4)</t>
  </si>
  <si>
    <t>Parts / Components / Assemblies</t>
  </si>
  <si>
    <t>Standard</t>
  </si>
  <si>
    <t xml:space="preserve"> Effective Date</t>
  </si>
  <si>
    <r>
      <t>DD</t>
    </r>
    <r>
      <rPr>
        <b/>
        <vertAlign val="superscript"/>
        <sz val="10"/>
        <color theme="1"/>
        <rFont val="Arial Narrow"/>
        <family val="2"/>
      </rPr>
      <t>th</t>
    </r>
    <r>
      <rPr>
        <b/>
        <sz val="10"/>
        <color theme="1"/>
        <rFont val="Arial Narrow"/>
        <family val="2"/>
      </rPr>
      <t xml:space="preserve"> Month YYYY</t>
    </r>
  </si>
  <si>
    <r>
      <t>Capacity (cm</t>
    </r>
    <r>
      <rPr>
        <b/>
        <vertAlign val="superscript"/>
        <sz val="10"/>
        <color theme="1"/>
        <rFont val="Arial Narrow"/>
        <family val="2"/>
      </rPr>
      <t>3</t>
    </r>
    <r>
      <rPr>
        <b/>
        <sz val="10"/>
        <color theme="1"/>
        <rFont val="Arial Narrow"/>
        <family val="2"/>
      </rPr>
      <t>)</t>
    </r>
  </si>
  <si>
    <t>1.</t>
  </si>
  <si>
    <t>Type &amp; Category</t>
  </si>
  <si>
    <t>1a.</t>
  </si>
  <si>
    <t>2.</t>
  </si>
  <si>
    <t>3.</t>
  </si>
  <si>
    <t>4.</t>
  </si>
  <si>
    <r>
      <t>This Certificate is valid up to DD</t>
    </r>
    <r>
      <rPr>
        <vertAlign val="superscript"/>
        <sz val="10"/>
        <color rgb="FFFF0000"/>
        <rFont val="Arial Narrow"/>
        <family val="2"/>
      </rPr>
      <t>th</t>
    </r>
    <r>
      <rPr>
        <sz val="10"/>
        <color rgb="FFFF0000"/>
        <rFont val="Arial Narrow"/>
        <family val="2"/>
      </rPr>
      <t xml:space="preserve"> MONTH YYYY.</t>
    </r>
  </si>
  <si>
    <t>5.</t>
  </si>
  <si>
    <t>AUTHORISED SIGNATORY</t>
  </si>
  <si>
    <t>Variant(s)</t>
  </si>
  <si>
    <t>Embossment of chassis number &amp; engine number &amp; month of manufacture (Ref: Table 11 of the Technical Specifications)</t>
  </si>
  <si>
    <t>Noise Report No.</t>
  </si>
  <si>
    <t xml:space="preserve">FTP Report No. </t>
  </si>
  <si>
    <t>Refer Annexure-IA &amp; IB</t>
  </si>
  <si>
    <t>Sub Rule(s)</t>
  </si>
  <si>
    <t xml:space="preserve"> Size &amp; ply rating of tyres </t>
  </si>
  <si>
    <t>Pass by Noise</t>
  </si>
  <si>
    <t>31 (a)</t>
  </si>
  <si>
    <t>Limit :</t>
  </si>
  <si>
    <t>Observed :</t>
  </si>
  <si>
    <t>Pass by Noise Limits</t>
  </si>
  <si>
    <t>01.04.2009</t>
  </si>
  <si>
    <t>01.10.2009</t>
  </si>
  <si>
    <t>01.04.2010</t>
  </si>
  <si>
    <t>Documental Reference/ This Certificate Supercedes</t>
  </si>
  <si>
    <t>Vehicle Manufacturer / Importer</t>
  </si>
  <si>
    <t>P</t>
  </si>
  <si>
    <t>GSR 1192 (E )</t>
  </si>
  <si>
    <t>SO 6108( E)</t>
  </si>
  <si>
    <t>SO 1431(E)</t>
  </si>
  <si>
    <t>SO 436(E)</t>
  </si>
  <si>
    <t>SO 411(E)</t>
  </si>
  <si>
    <t>10.12.2018</t>
  </si>
  <si>
    <t>1/1(a)</t>
  </si>
  <si>
    <t>IS 14272: 2011</t>
  </si>
  <si>
    <r>
      <t>P</t>
    </r>
    <r>
      <rPr>
        <b/>
        <sz val="10"/>
        <color rgb="FFFF0000"/>
        <rFont val="Arial Narrow"/>
        <family val="2"/>
      </rPr>
      <t>/ NA</t>
    </r>
  </si>
  <si>
    <t>SO 1365(E)</t>
  </si>
  <si>
    <t>Front fog lamps</t>
  </si>
  <si>
    <t>Rear fog lamps</t>
  </si>
  <si>
    <t>AIS-012 (Part 6)(Rev.1) : 2011</t>
  </si>
  <si>
    <t>Daytime running lamps</t>
  </si>
  <si>
    <r>
      <t xml:space="preserve">In order to establish compliance to the provisions of </t>
    </r>
    <r>
      <rPr>
        <sz val="10"/>
        <rFont val="Arial Narrow"/>
        <family val="2"/>
      </rPr>
      <t>CMVR, 1989</t>
    </r>
    <r>
      <rPr>
        <sz val="10"/>
        <color theme="1"/>
        <rFont val="Arial Narrow"/>
        <family val="2"/>
      </rPr>
      <t xml:space="preserve">, applicable as on date, documental verification / necessary testing was carried out, on the following </t>
    </r>
    <r>
      <rPr>
        <b/>
        <sz val="10"/>
        <color theme="1"/>
        <rFont val="Arial Narrow"/>
        <family val="2"/>
      </rPr>
      <t>base model</t>
    </r>
    <r>
      <rPr>
        <b/>
        <sz val="10"/>
        <color rgb="FFFF0000"/>
        <rFont val="Arial Narrow"/>
        <family val="2"/>
      </rPr>
      <t xml:space="preserve"> &amp; it's variant(s)</t>
    </r>
    <r>
      <rPr>
        <sz val="10"/>
        <color theme="1"/>
        <rFont val="Arial Narrow"/>
        <family val="2"/>
      </rPr>
      <t xml:space="preserve">, submitted by the vehicle </t>
    </r>
    <r>
      <rPr>
        <b/>
        <sz val="10"/>
        <color rgb="FFFF0000"/>
        <rFont val="Arial Narrow"/>
        <family val="2"/>
      </rPr>
      <t>manufacturer / importer</t>
    </r>
    <r>
      <rPr>
        <sz val="10"/>
        <color theme="1"/>
        <rFont val="Arial Narrow"/>
        <family val="2"/>
      </rPr>
      <t xml:space="preserve"> referred below: </t>
    </r>
  </si>
  <si>
    <r>
      <t xml:space="preserve">It is certified that the above </t>
    </r>
    <r>
      <rPr>
        <b/>
        <sz val="10"/>
        <color theme="1"/>
        <rFont val="Arial Narrow"/>
        <family val="2"/>
      </rPr>
      <t xml:space="preserve">base model </t>
    </r>
    <r>
      <rPr>
        <b/>
        <sz val="10"/>
        <color rgb="FFFF0000"/>
        <rFont val="Arial Narrow"/>
        <family val="2"/>
      </rPr>
      <t>&amp; it's variant(s)</t>
    </r>
    <r>
      <rPr>
        <sz val="10"/>
        <color theme="1"/>
        <rFont val="Arial Narrow"/>
        <family val="2"/>
      </rPr>
      <t xml:space="preserve"> comply with the provisions of the</t>
    </r>
    <r>
      <rPr>
        <sz val="10"/>
        <rFont val="Arial Narrow"/>
        <family val="2"/>
      </rPr>
      <t xml:space="preserve"> CMVR, 1989</t>
    </r>
    <r>
      <rPr>
        <sz val="10"/>
        <color theme="1"/>
        <rFont val="Arial Narrow"/>
        <family val="2"/>
      </rPr>
      <t>, as amended up-to-date, including following requirements, (as detailed at ANNEXURE - I, IA &amp; IB):</t>
    </r>
  </si>
  <si>
    <t xml:space="preserve">Rule 124 (1)
Table
Sr. No.     </t>
  </si>
  <si>
    <r>
      <t xml:space="preserve">Brief technical specifications (----) of the </t>
    </r>
    <r>
      <rPr>
        <b/>
        <sz val="10"/>
        <color theme="1"/>
        <rFont val="Arial Narrow"/>
        <family val="2"/>
      </rPr>
      <t xml:space="preserve">base model </t>
    </r>
    <r>
      <rPr>
        <b/>
        <sz val="10"/>
        <color rgb="FFFF0000"/>
        <rFont val="Arial Narrow"/>
        <family val="2"/>
      </rPr>
      <t>&amp; it's variant(s)</t>
    </r>
    <r>
      <rPr>
        <sz val="10"/>
        <color theme="1"/>
        <rFont val="Arial Narrow"/>
        <family val="2"/>
      </rPr>
      <t xml:space="preserve"> as declared by the vehicle </t>
    </r>
    <r>
      <rPr>
        <sz val="10"/>
        <color rgb="FFFF0000"/>
        <rFont val="Arial Narrow"/>
        <family val="2"/>
      </rPr>
      <t>manufacturer / importer</t>
    </r>
    <r>
      <rPr>
        <sz val="10"/>
        <color theme="1"/>
        <rFont val="Arial Narrow"/>
        <family val="2"/>
      </rPr>
      <t xml:space="preserve"> are enclosed with this certificate. Detailed specifications (----) of the </t>
    </r>
    <r>
      <rPr>
        <b/>
        <sz val="10"/>
        <color theme="1"/>
        <rFont val="Arial Narrow"/>
        <family val="2"/>
      </rPr>
      <t xml:space="preserve">base model </t>
    </r>
    <r>
      <rPr>
        <b/>
        <sz val="10"/>
        <color rgb="FFFF0000"/>
        <rFont val="Arial Narrow"/>
        <family val="2"/>
      </rPr>
      <t>&amp; it's variant(s)</t>
    </r>
    <r>
      <rPr>
        <sz val="10"/>
        <color theme="1"/>
        <rFont val="Arial Narrow"/>
        <family val="2"/>
      </rPr>
      <t xml:space="preserve"> are also separately issued to the vehicle </t>
    </r>
    <r>
      <rPr>
        <sz val="10"/>
        <color rgb="FFFF0000"/>
        <rFont val="Arial Narrow"/>
        <family val="2"/>
      </rPr>
      <t>manufacturer / importer</t>
    </r>
    <r>
      <rPr>
        <sz val="10"/>
        <color theme="1"/>
        <rFont val="Arial Narrow"/>
        <family val="2"/>
      </rPr>
      <t xml:space="preserve">. 
</t>
    </r>
    <r>
      <rPr>
        <sz val="10"/>
        <color theme="1"/>
        <rFont val="Arial Narrow"/>
        <family val="2"/>
      </rPr>
      <t xml:space="preserve">
</t>
    </r>
  </si>
  <si>
    <r>
      <t xml:space="preserve">This Certificate is issued as per CMV Rule 126, to establish compliance with the Central Motor Vehicles Rules, 1989, and shall not be construed as a certificate of compliance to any rules other than those listed in </t>
    </r>
    <r>
      <rPr>
        <b/>
        <sz val="10"/>
        <color theme="1"/>
        <rFont val="Arial Narrow"/>
        <family val="2"/>
      </rPr>
      <t>ANNEXURE - I, IA, IB &amp; II</t>
    </r>
    <r>
      <rPr>
        <sz val="10"/>
        <color theme="1"/>
        <rFont val="Arial Narrow"/>
        <family val="2"/>
      </rPr>
      <t xml:space="preserve">. Compliance to these rules has been verified based on the use of specific components / parts / assemblies etc. details of which are given in the detailed specifications duly endorsed by ICAT as mentioned at Para. 1a above. It is the vehicle </t>
    </r>
    <r>
      <rPr>
        <sz val="10"/>
        <color rgb="FFFF0000"/>
        <rFont val="Arial Narrow"/>
        <family val="2"/>
      </rPr>
      <t>manufacturer's / importer's</t>
    </r>
    <r>
      <rPr>
        <sz val="10"/>
        <color theme="1"/>
        <rFont val="Arial Narrow"/>
        <family val="2"/>
      </rPr>
      <t xml:space="preserve"> responsibility to ensure fitment of same components / parts / assemblies etc. before submission of the vehicle for registration.</t>
    </r>
  </si>
  <si>
    <t>This Certificate is issued as per DGFT Notification No. 4(RE-2001)1997-2002 dt. March 31, 2001 for further amendment therein, as applicable.</t>
  </si>
  <si>
    <t>Refer ANNEXURE - III</t>
  </si>
  <si>
    <t>Refer ANNEXURE - II</t>
  </si>
  <si>
    <t>AIS-034:2004/AIS-034 (Part 1) (Rev.1):2010 /AIS-034 (Part 2) (Rev.1 ) : 2010</t>
  </si>
  <si>
    <t>IS-7079:2008</t>
  </si>
  <si>
    <t>IS-8654:1986</t>
  </si>
  <si>
    <t>AIS-004:2009 (Part - 3)</t>
  </si>
  <si>
    <t>AIS-003:1999</t>
  </si>
  <si>
    <t>AIS-037:2004**</t>
  </si>
  <si>
    <r>
      <t>DD</t>
    </r>
    <r>
      <rPr>
        <b/>
        <vertAlign val="superscript"/>
        <sz val="10"/>
        <color theme="1"/>
        <rFont val="Arial Narrow"/>
        <family val="2"/>
      </rPr>
      <t>th</t>
    </r>
    <r>
      <rPr>
        <b/>
        <sz val="10"/>
        <color theme="1"/>
        <rFont val="Arial Narrow"/>
        <family val="2"/>
      </rPr>
      <t xml:space="preserve"> February YYYY</t>
    </r>
  </si>
  <si>
    <t>AIS-057:2005/AIS-057 (Rev. 1): 2010</t>
  </si>
  <si>
    <t>AIS-065:2005</t>
  </si>
  <si>
    <t>GSR 84(E)</t>
  </si>
  <si>
    <t>09.02.2009</t>
  </si>
  <si>
    <t>01.04.2013</t>
  </si>
  <si>
    <t>115 (15)(a),(b)(i)</t>
  </si>
  <si>
    <t>Bharat Stage – IV, OBD - I &amp; OBD - II</t>
  </si>
  <si>
    <t>GSR 643(E)</t>
  </si>
  <si>
    <t>19.08.2015</t>
  </si>
  <si>
    <t>01.04.2017</t>
  </si>
  <si>
    <t>115 (15) (a) (aa)</t>
  </si>
  <si>
    <r>
      <t xml:space="preserve">(1), (2),(3), (4), (5), (6) </t>
    </r>
    <r>
      <rPr>
        <sz val="10"/>
        <color rgb="FFFF0000"/>
        <rFont val="Arial Narrow"/>
        <family val="2"/>
      </rPr>
      <t>&amp;</t>
    </r>
    <r>
      <rPr>
        <sz val="10"/>
        <color theme="1"/>
        <rFont val="Arial Narrow"/>
        <family val="2"/>
      </rPr>
      <t xml:space="preserve"> </t>
    </r>
    <r>
      <rPr>
        <sz val="10"/>
        <color rgb="FFFF0000"/>
        <rFont val="Arial Narrow"/>
        <family val="2"/>
      </rPr>
      <t>(7)</t>
    </r>
    <r>
      <rPr>
        <sz val="10"/>
        <color theme="1"/>
        <rFont val="Arial Narrow"/>
        <family val="2"/>
      </rPr>
      <t xml:space="preserve">
</t>
    </r>
    <r>
      <rPr>
        <sz val="10"/>
        <color rgb="FFFF0000"/>
        <rFont val="Arial Narrow"/>
        <family val="2"/>
      </rPr>
      <t>(Tubeless / Tube / Bias / Radial)</t>
    </r>
  </si>
  <si>
    <t>Brakes</t>
  </si>
  <si>
    <t>96B</t>
  </si>
  <si>
    <t xml:space="preserve">High Speed Brake Requirements </t>
  </si>
  <si>
    <t>(a) &amp; (b)</t>
  </si>
  <si>
    <t>(3)</t>
  </si>
  <si>
    <t>(1), (2)</t>
  </si>
  <si>
    <t>Steering gear</t>
  </si>
  <si>
    <t>Forward and backward motion</t>
  </si>
  <si>
    <t>Safety glass</t>
  </si>
  <si>
    <t>Windscreen wiper</t>
  </si>
  <si>
    <t>Signalling devices, direction indicators and stop lights</t>
  </si>
  <si>
    <t xml:space="preserve">(1) &amp; (2) </t>
  </si>
  <si>
    <t xml:space="preserve">(1) (a), (2), (3), (4) &amp; (7) </t>
  </si>
  <si>
    <t>Parking light</t>
  </si>
  <si>
    <t>Emission of smoke, vapour, etc. from motor vehicle 
(OBD I &amp; OBD II)</t>
  </si>
  <si>
    <t>Fuel Consumption Standard</t>
  </si>
  <si>
    <t>115G</t>
  </si>
  <si>
    <r>
      <t>(1),</t>
    </r>
    <r>
      <rPr>
        <sz val="10"/>
        <color rgb="FFFF0000"/>
        <rFont val="Arial Narrow"/>
        <family val="2"/>
      </rPr>
      <t>(1) (iv), (7)-Only For Road Ambulance</t>
    </r>
  </si>
  <si>
    <t>Speed Governor (SLD/ SLF - Make)</t>
  </si>
  <si>
    <t>ANNEXURE - I (Contd.)</t>
  </si>
  <si>
    <t>93 dB(A) to 112 dB(A)</t>
  </si>
  <si>
    <t>74 dB(A)</t>
  </si>
  <si>
    <t>Safety Belt, Seats &amp; their Anchorages</t>
  </si>
  <si>
    <t>(1), (1A) &amp; (5)</t>
  </si>
  <si>
    <t xml:space="preserve">Rear View Mirror </t>
  </si>
  <si>
    <t>(2)/(2)(c)</t>
  </si>
  <si>
    <t>AIS-002:2001 / AIS-002 (Part 1)(Rev.1):2011</t>
  </si>
  <si>
    <t>AIS-001:2001 / AIS-001 (Part 1) (Rev.1):2011</t>
  </si>
  <si>
    <t>Child Restraint System</t>
  </si>
  <si>
    <t>(8)</t>
  </si>
  <si>
    <t>AIS-072:2009</t>
  </si>
  <si>
    <t>Additional Safety features for Category M &amp; N Vehicles</t>
  </si>
  <si>
    <t>(9)</t>
  </si>
  <si>
    <t>AIS-145:2017</t>
  </si>
  <si>
    <r>
      <t>4 Wheelers
(</t>
    </r>
    <r>
      <rPr>
        <b/>
        <sz val="10"/>
        <color rgb="FFFF0000"/>
        <rFont val="Arial Narrow"/>
        <family val="2"/>
      </rPr>
      <t>M1/M1G</t>
    </r>
    <r>
      <rPr>
        <b/>
        <sz val="10"/>
        <color theme="1"/>
        <rFont val="Arial Narrow"/>
        <family val="2"/>
      </rPr>
      <t xml:space="preserve"> Category)</t>
    </r>
  </si>
  <si>
    <t>IS-15796:2008</t>
  </si>
  <si>
    <t>IS-11852:2001 
(Part 1 to 8 as Applicable)</t>
  </si>
  <si>
    <t>IS-15986:2015 (ABS)</t>
  </si>
  <si>
    <t>IS-11852:2001 (Part 3)</t>
  </si>
  <si>
    <t xml:space="preserve">IS-11948:2010 </t>
  </si>
  <si>
    <t>IS-12222:2011</t>
  </si>
  <si>
    <t>IS-2553 (Part 2):1992</t>
  </si>
  <si>
    <t>IS-15804:2008</t>
  </si>
  <si>
    <t>IS-11827:2008</t>
  </si>
  <si>
    <t>AIS-018:2001</t>
  </si>
  <si>
    <t>IS-1884:1993</t>
  </si>
  <si>
    <t>IS-3028:1998</t>
  </si>
  <si>
    <t>IS-15140:2003, IS-15139:2002 &amp;
 IS-15546:2005</t>
  </si>
  <si>
    <t>Steering Impact (For 4W – GVW up to 1.5 t)/Requirement for behavior of steering mechanism of a vehicle in a Head-on Collision</t>
  </si>
  <si>
    <t>IS-11939:1996/AIS-096:2008</t>
  </si>
  <si>
    <t>5/5(b)</t>
  </si>
  <si>
    <t>Protection of Occupants in the event of an Offset Frontal collision</t>
  </si>
  <si>
    <t>5(c)</t>
  </si>
  <si>
    <t>AIS-098:2008</t>
  </si>
  <si>
    <t>Side Door Impact/Approval of vehicle with regard to the Protection of Occupants in the event of a Lateral Collision</t>
  </si>
  <si>
    <t>IS-12009:1995/AIS-099:2008</t>
  </si>
  <si>
    <t>6/6(b)</t>
  </si>
  <si>
    <t>6(c)</t>
  </si>
  <si>
    <t>Approval of vehicle with regard to the Protection of Pedestrian and other Vulnerable Road User in the event of a collision with a Motor Vehicle</t>
  </si>
  <si>
    <t>7(a)/(b)</t>
  </si>
  <si>
    <t>AIS-100:2010</t>
  </si>
  <si>
    <r>
      <t xml:space="preserve">Fuel Tank </t>
    </r>
    <r>
      <rPr>
        <sz val="10"/>
        <color rgb="FFFF0000"/>
        <rFont val="Arial Narrow"/>
        <family val="2"/>
      </rPr>
      <t>(Metallic/Plastic)</t>
    </r>
  </si>
  <si>
    <t xml:space="preserve">IS-12056:1987 /AIS-095:2007/IS-15547:2005     </t>
  </si>
  <si>
    <t>8(a)</t>
  </si>
  <si>
    <t>Wheel Rims</t>
  </si>
  <si>
    <t>IS-9436:1980/IS-9438:1980</t>
  </si>
  <si>
    <t>External Projections</t>
  </si>
  <si>
    <t>IS-13942:1994/AIS-120:2014</t>
  </si>
  <si>
    <t>Wheel Guards</t>
  </si>
  <si>
    <t>IS-13943:1994</t>
  </si>
  <si>
    <t>Wheel Nuts, Disc &amp; Hub Caps</t>
  </si>
  <si>
    <t>IS-13941:1994</t>
  </si>
  <si>
    <t>ANNEXURE - IA(Contd.)</t>
  </si>
  <si>
    <t>Accelerator Control System</t>
  </si>
  <si>
    <t>IS-14283:1995</t>
  </si>
  <si>
    <t>Door Locks and Door Retention Components</t>
  </si>
  <si>
    <t>IS-14225:1995</t>
  </si>
  <si>
    <t>Hood Latch</t>
  </si>
  <si>
    <t>IS-14226:1995</t>
  </si>
  <si>
    <t>AIS-071 : 2009 (Part-1 &amp; Part-2)</t>
  </si>
  <si>
    <t xml:space="preserve">Installation of Lighting/ Signalling Devices </t>
  </si>
  <si>
    <t>AIS-008:2010 (Rev 1)</t>
  </si>
  <si>
    <t>20(i)</t>
  </si>
  <si>
    <t>AIS-012 : 2004</t>
  </si>
  <si>
    <t xml:space="preserve">Performance Requirements of the Lighting/Signalling Devices </t>
  </si>
  <si>
    <t>Main-beam and dipped-beam headlamps</t>
  </si>
  <si>
    <t>20 (i)(a)</t>
  </si>
  <si>
    <t>20 (i)(b)</t>
  </si>
  <si>
    <t>20 (i)(c)</t>
  </si>
  <si>
    <t>20 (i)(d)</t>
  </si>
  <si>
    <t>20 (i)(e)</t>
  </si>
  <si>
    <t>20 (i)(f)</t>
  </si>
  <si>
    <t>20 (i)(g)</t>
  </si>
  <si>
    <t>20 (i)(h)</t>
  </si>
  <si>
    <t>20 (i)(i)</t>
  </si>
  <si>
    <t>20 (i)(j)</t>
  </si>
  <si>
    <t>Cornering Lamps</t>
  </si>
  <si>
    <t>Rear registration plates (mark) illuminating lamps</t>
  </si>
  <si>
    <t>Direction indicators</t>
  </si>
  <si>
    <t>AIS-010 (Part 1) (Rev.1):2010/AIS-010 (Part 2) (Rev.1):2010/AIS-010 (Part 4) (Rev.1):2010</t>
  </si>
  <si>
    <t>AIS-012 (Part 5) (Rev.1):2011</t>
  </si>
  <si>
    <t>AIS-012 (Part 1) (Rev.1):2011</t>
  </si>
  <si>
    <t>AIS-012 (Part 2) (Rev.1):2011</t>
  </si>
  <si>
    <t>AIS-012 (Part 3) (Rev.1):2011</t>
  </si>
  <si>
    <t>AIS-012 (Part 4) (Rev.1):2011</t>
  </si>
  <si>
    <t>Front and rear position (side) lamps,stop-lamps and end-outline marker lamps</t>
  </si>
  <si>
    <t>Reversing lamps</t>
  </si>
  <si>
    <t>AIS-012 (Part 7) (Rev.1):2011</t>
  </si>
  <si>
    <t>AIS-012 (Part 8) (Rev.1):2011</t>
  </si>
  <si>
    <t>AIS-012 (Part 9) (Rev.1):2011</t>
  </si>
  <si>
    <t>AIS-012 (Part 10) (Rev.1):2011</t>
  </si>
  <si>
    <t>Parking lamps</t>
  </si>
  <si>
    <t>Side-marker lamps</t>
  </si>
  <si>
    <t>Driver’s Field of vision for new vehicles of M1 category</t>
  </si>
  <si>
    <t>AIS-021 : 2004</t>
  </si>
  <si>
    <t xml:space="preserve">The interior fittings on automotive vehicles </t>
  </si>
  <si>
    <t>IS-15223:2002</t>
  </si>
  <si>
    <t>Bumper Test on M1 category</t>
  </si>
  <si>
    <t>IS-15901:2010</t>
  </si>
  <si>
    <t>Arrangement and mode of operation of foot controls</t>
  </si>
  <si>
    <t>AIS-035:2006</t>
  </si>
  <si>
    <t xml:space="preserve">Demisting System for M1 category </t>
  </si>
  <si>
    <t>46(a)</t>
  </si>
  <si>
    <t>46(b)</t>
  </si>
  <si>
    <t>AIS-084:2008 Part 1</t>
  </si>
  <si>
    <t>Defrosting System for M1 category (If Fitted)</t>
  </si>
  <si>
    <t>AIS-084:2008 Part 2</t>
  </si>
  <si>
    <t>Test procedure for measurement of minimum  
ground clearance for M1 category of vehicles</t>
  </si>
  <si>
    <t>Protective devices against unauthorised use for  M and N category vehicles</t>
  </si>
  <si>
    <t xml:space="preserve">Vehicle Alarm Systems and Immobilizers for M category, and N category vehicles, if fitted </t>
  </si>
  <si>
    <t>AIS-076:2007</t>
  </si>
  <si>
    <t>AIS-075:2006</t>
  </si>
  <si>
    <t>IS-9435:2004</t>
  </si>
  <si>
    <t>Adaptive Front - Lighting System (AFS) if provided on motor vehicles of category M &amp; N</t>
  </si>
  <si>
    <t>Page 5 of</t>
  </si>
  <si>
    <t>2 (l)</t>
  </si>
  <si>
    <t>M1/M1G</t>
  </si>
  <si>
    <r>
      <t xml:space="preserve">Safety Glass/Tyres / Horn / </t>
    </r>
    <r>
      <rPr>
        <sz val="10"/>
        <color rgb="FFFF0000"/>
        <rFont val="Arial Narrow"/>
        <family val="2"/>
      </rPr>
      <t>Brake hose</t>
    </r>
  </si>
  <si>
    <t>Fuel Tank/ Door Locks &amp; Door Retention component</t>
  </si>
  <si>
    <t>Fuel Consumption</t>
  </si>
  <si>
    <t>GSR 954(E)</t>
  </si>
  <si>
    <t>04.10.2016</t>
  </si>
  <si>
    <t>115G (1) &amp; (2)</t>
  </si>
  <si>
    <t>GSR 1461(E)</t>
  </si>
  <si>
    <t>27.11.2017</t>
  </si>
  <si>
    <t>05.10.2016</t>
  </si>
  <si>
    <t>Temporary Use, Spare Wheel or tyre/Run Flat Tyre</t>
  </si>
  <si>
    <t>GSR 625(E)</t>
  </si>
  <si>
    <t>08.08.2012</t>
  </si>
  <si>
    <t>95 (7)</t>
  </si>
  <si>
    <t>SO 2714(E)</t>
  </si>
  <si>
    <t>04.11.2010</t>
  </si>
  <si>
    <t>GSR 225(E)</t>
  </si>
  <si>
    <t>26.03.2015</t>
  </si>
  <si>
    <r>
      <t>Brakes/ Lamps/ Retro Reflectors/ Category of Vehicles/ VIN/ Tyres/ Horn/</t>
    </r>
    <r>
      <rPr>
        <sz val="10"/>
        <color rgb="FFFF0000"/>
        <rFont val="Arial Narrow"/>
        <family val="2"/>
      </rPr>
      <t>Brake Hose/</t>
    </r>
    <r>
      <rPr>
        <sz val="10"/>
        <color theme="1"/>
        <rFont val="Arial Narrow"/>
        <family val="2"/>
      </rPr>
      <t xml:space="preserve"> Bulb/ Rear View Mirror/ Lighting &amp; light signaling devices/ Fuel tank  &amp; Safety Components/ Tell Tale Symbols and Control/ Electromagnetic Compatibility of motor vehicles/ Horn Installation/ Exhaust Gases/ Location of Exhaust Pipes/Protective Devices etc.</t>
    </r>
  </si>
  <si>
    <t>SO 1139(E)</t>
  </si>
  <si>
    <t>SO 2412(E)</t>
  </si>
  <si>
    <t>28.04.2015</t>
  </si>
  <si>
    <t>03.09.2015</t>
  </si>
  <si>
    <t>GSR 120(E)</t>
  </si>
  <si>
    <t>10.02.2017</t>
  </si>
  <si>
    <t>SO 3291(E)</t>
  </si>
  <si>
    <t>11.10.2017</t>
  </si>
  <si>
    <t>GSR 1463 (E )</t>
  </si>
  <si>
    <t>GSR 1483 (E )</t>
  </si>
  <si>
    <t>07.12.2017</t>
  </si>
  <si>
    <t>GSR 868(E)</t>
  </si>
  <si>
    <t>08.09.2016</t>
  </si>
  <si>
    <t>GSR 424 (E )</t>
  </si>
  <si>
    <t>01.05.2017</t>
  </si>
  <si>
    <t>Page 6 of</t>
  </si>
  <si>
    <t>Diesel Engine Model / Type</t>
  </si>
  <si>
    <t>Free Acceleration Smoke</t>
  </si>
  <si>
    <t>GSR 498(E)</t>
  </si>
  <si>
    <t>16.06.2015</t>
  </si>
  <si>
    <t>115 (2) (ii)</t>
  </si>
  <si>
    <t>(1), (2)(ii), (15) [(a), (aa), (b)(i)]</t>
  </si>
  <si>
    <t>Please turn over for DISCLAIMER</t>
  </si>
  <si>
    <t>Left Margin</t>
  </si>
  <si>
    <t>Right Margin</t>
  </si>
  <si>
    <t>Top Margin</t>
  </si>
  <si>
    <t>Bottom Margin</t>
  </si>
  <si>
    <t>Header Margin</t>
  </si>
  <si>
    <t>Footer Margin</t>
  </si>
  <si>
    <t>Footter Margin</t>
  </si>
  <si>
    <t>SO 2210( E)</t>
  </si>
  <si>
    <t>01.06.2018</t>
  </si>
  <si>
    <t xml:space="preserve">(1), (2), (3), (4)(ii), (4B), (5), (6), (7)(a) &amp; (8) </t>
  </si>
  <si>
    <r>
      <t xml:space="preserve">IS-15627:2005,  
AIS-051:2004 </t>
    </r>
    <r>
      <rPr>
        <sz val="10"/>
        <color rgb="FFFF0000"/>
        <rFont val="Arial Narrow"/>
        <family val="2"/>
      </rPr>
      <t>&amp;
AIS-110:2009</t>
    </r>
  </si>
  <si>
    <t>(4) (c)</t>
  </si>
  <si>
    <t>(4) (a)</t>
  </si>
  <si>
    <t>Warning Triangles- Size &amp; Specifications</t>
  </si>
  <si>
    <t>Temporary Use, Spare Wheel or Tyre / Run Flat Tyre</t>
  </si>
  <si>
    <t>AIS-022:2001</t>
  </si>
  <si>
    <t>AIS-127:2016</t>
  </si>
  <si>
    <t>Bulbs/Safety Belt/Wheel rims/ Lighting and light Signaling Devices / Retro-Reflectors / Warning Triangles / RVM</t>
  </si>
  <si>
    <t>PRASHANT VIJAY</t>
  </si>
  <si>
    <t>DEPUTY GENERAL MANAGER</t>
  </si>
  <si>
    <t>C</t>
  </si>
  <si>
    <t>A</t>
  </si>
  <si>
    <t>N</t>
  </si>
  <si>
    <t>F</t>
  </si>
  <si>
    <t>M/s XXX Ltd.</t>
  </si>
  <si>
    <t>XXX</t>
  </si>
  <si>
    <t>XXXX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</si>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</sst>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FF00"/>
      <name val="Arial Narrow"/>
      <family val="2"/>
    </font>
    <font>
      <b/>
      <vertAlign val="superscript"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FF00"/>
      <name val="Arial Narrow"/>
      <family val="2"/>
    </font>
    <font>
      <b/>
      <i/>
      <sz val="18"/>
      <color theme="1"/>
      <name val="Arial Narrow"/>
      <family val="2"/>
    </font>
    <font>
      <b/>
      <sz val="12"/>
      <color theme="1"/>
      <name val="Arial Narrow"/>
      <family val="2"/>
    </font>
    <font>
      <vertAlign val="superscript"/>
      <sz val="10"/>
      <color rgb="FFFF000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theme="1"/>
      <name val="Wingdings 2"/>
      <family val="1"/>
      <charset val="2"/>
    </font>
    <font>
      <b/>
      <sz val="10"/>
      <color theme="1"/>
      <name val="Calibri"/>
      <family val="2"/>
      <scheme val="minor"/>
    </font>
    <font>
      <b/>
      <sz val="10"/>
      <color rgb="FFFF0000"/>
      <name val="Wingdings 2"/>
      <family val="1"/>
      <charset val="2"/>
    </font>
    <font>
      <b/>
      <sz val="10"/>
      <color rgb="FFFF0000"/>
      <name val="Calibri"/>
      <family val="2"/>
      <scheme val="minor"/>
    </font>
    <font>
      <b/>
      <sz val="10"/>
      <color theme="0"/>
      <name val="Arial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6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</cellStyleXfs>
  <cellXfs count="314">
    <xf numFmtId="0" fontId="0" fillId="0" borderId="0" xfId="0"/>
    <xf numFmtId="0" fontId="2" fillId="0" borderId="0" xfId="20">
      <alignment/>
      <protection/>
    </xf>
    <xf numFmtId="0" fontId="3" fillId="0" borderId="0" xfId="20" applyFont="1" applyAlignment="1">
      <alignment horizontal="center" wrapText="1"/>
      <protection/>
    </xf>
    <xf numFmtId="0" fontId="3" fillId="0" borderId="0" xfId="20" applyFont="1">
      <alignment/>
      <protection/>
    </xf>
    <xf numFmtId="0" fontId="2" fillId="0" borderId="0" xfId="20" applyAlignment="1">
      <alignment horizontal="center"/>
      <protection/>
    </xf>
    <xf numFmtId="0" fontId="2" fillId="0" borderId="0" xfId="20" applyAlignment="1">
      <alignment horizontal="center" wrapText="1"/>
      <protection/>
    </xf>
    <xf numFmtId="0" fontId="2" fillId="0" borderId="0" xfId="20" applyFill="1">
      <alignment/>
      <protection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/>
    </xf>
    <xf numFmtId="0" fontId="7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0" borderId="0" xfId="0" applyFont="1" applyFill="1" applyAlignment="1">
      <alignment/>
    </xf>
    <xf numFmtId="0" fontId="5" fillId="0" borderId="0" xfId="0" applyFont="1" applyFill="1" applyBorder="1" applyAlignment="1">
      <alignment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/>
    </xf>
    <xf numFmtId="0" fontId="6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/>
    </xf>
    <xf numFmtId="0" fontId="6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 quotePrefix="1">
      <alignment horizontal="right" vertical="center" wrapText="1"/>
    </xf>
    <xf numFmtId="0" fontId="9" fillId="0" borderId="0" xfId="0" applyFont="1" applyFill="1" applyBorder="1" applyAlignment="1" quotePrefix="1">
      <alignment horizontal="right" vertical="top" wrapTex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 quotePrefix="1">
      <alignment horizontal="right" vertical="center" wrapText="1"/>
    </xf>
    <xf numFmtId="0" fontId="12" fillId="0" borderId="0" xfId="0" applyFont="1" applyFill="1" applyAlignment="1" quotePrefix="1">
      <alignment horizontal="right" vertical="center"/>
    </xf>
    <xf numFmtId="0" fontId="13" fillId="0" borderId="0" xfId="0" applyFont="1" applyFill="1" applyBorder="1" applyAlignment="1">
      <alignment vertical="center" textRotation="90"/>
    </xf>
    <xf numFmtId="0" fontId="9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/>
    </xf>
    <xf numFmtId="0" fontId="9" fillId="0" borderId="0" xfId="0" applyFont="1" applyFill="1" applyAlignment="1">
      <alignment/>
    </xf>
    <xf numFmtId="0" fontId="9" fillId="0" borderId="0" xfId="0" applyFont="1" applyFill="1" applyBorder="1" applyAlignment="1">
      <alignment vertical="top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/>
    </xf>
    <xf numFmtId="0" fontId="9" fillId="0" borderId="0" xfId="0" applyFont="1" applyFill="1" applyBorder="1" applyAlignment="1" quotePrefix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 quotePrefix="1">
      <alignment vertical="center" wrapText="1"/>
    </xf>
    <xf numFmtId="0" fontId="12" fillId="0" borderId="0" xfId="0" applyFont="1" applyBorder="1" applyAlignment="1">
      <alignment vertical="center" wrapText="1"/>
    </xf>
    <xf numFmtId="0" fontId="9" fillId="0" borderId="3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2" fillId="0" borderId="3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 quotePrefix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horizontal="justify" vertical="center" wrapText="1"/>
    </xf>
    <xf numFmtId="0" fontId="12" fillId="0" borderId="0" xfId="0" applyFont="1" applyFill="1" applyBorder="1" applyAlignment="1">
      <alignment horizontal="justify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justify" vertical="center" wrapText="1"/>
    </xf>
    <xf numFmtId="0" fontId="9" fillId="0" borderId="10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/>
    </xf>
    <xf numFmtId="0" fontId="9" fillId="0" borderId="8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9" fillId="0" borderId="12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justify" vertical="top" wrapText="1"/>
    </xf>
    <xf numFmtId="0" fontId="9" fillId="0" borderId="0" xfId="0" applyFont="1" applyFill="1" applyBorder="1" applyAlignment="1">
      <alignment horizontal="justify" vertical="top" wrapText="1"/>
    </xf>
    <xf numFmtId="0" fontId="9" fillId="0" borderId="10" xfId="0" applyFont="1" applyFill="1" applyBorder="1" applyAlignment="1">
      <alignment horizontal="justify" vertical="center" wrapText="1"/>
    </xf>
    <xf numFmtId="0" fontId="17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 quotePrefix="1">
      <alignment horizontal="center" vertical="center" wrapText="1"/>
    </xf>
    <xf numFmtId="0" fontId="9" fillId="0" borderId="7" xfId="0" applyFont="1" applyBorder="1" applyAlignment="1" quotePrefix="1">
      <alignment horizontal="center" vertical="center" wrapText="1"/>
    </xf>
    <xf numFmtId="0" fontId="9" fillId="0" borderId="8" xfId="0" applyFont="1" applyBorder="1" applyAlignment="1" quotePrefix="1">
      <alignment horizontal="center" vertical="center" wrapText="1"/>
    </xf>
    <xf numFmtId="0" fontId="9" fillId="0" borderId="9" xfId="0" applyFont="1" applyBorder="1" applyAlignment="1" quotePrefix="1">
      <alignment horizontal="center" vertical="center" wrapText="1"/>
    </xf>
    <xf numFmtId="0" fontId="9" fillId="0" borderId="10" xfId="0" applyFont="1" applyBorder="1" applyAlignment="1" quotePrefix="1">
      <alignment horizontal="center" vertical="center" wrapText="1"/>
    </xf>
    <xf numFmtId="0" fontId="9" fillId="0" borderId="11" xfId="0" applyFont="1" applyBorder="1" applyAlignment="1" quotePrefix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 quotePrefix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 quotePrefix="1">
      <alignment horizontal="center" vertical="center" wrapText="1"/>
    </xf>
    <xf numFmtId="0" fontId="9" fillId="0" borderId="5" xfId="0" applyFont="1" applyBorder="1" applyAlignment="1" quotePrefix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9" fillId="0" borderId="1" xfId="0" applyFont="1" applyBorder="1" applyAlignment="1" quotePrefix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 quotePrefix="1">
      <alignment horizontal="center"/>
    </xf>
    <xf numFmtId="0" fontId="9" fillId="0" borderId="3" xfId="0" applyFont="1" applyBorder="1" applyAlignment="1" quotePrefix="1">
      <alignment horizontal="center"/>
    </xf>
    <xf numFmtId="0" fontId="9" fillId="0" borderId="4" xfId="0" applyFont="1" applyBorder="1" applyAlignment="1" quotePrefix="1">
      <alignment horizont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 quotePrefix="1">
      <alignment horizontal="center"/>
    </xf>
    <xf numFmtId="0" fontId="12" fillId="0" borderId="5" xfId="0" applyFont="1" applyBorder="1" applyAlignment="1" quotePrefix="1">
      <alignment horizontal="center" vertical="center" wrapText="1"/>
    </xf>
    <xf numFmtId="0" fontId="9" fillId="0" borderId="3" xfId="0" applyFont="1" applyBorder="1" applyAlignment="1" quotePrefix="1">
      <alignment horizontal="center" vertical="center" wrapText="1"/>
    </xf>
    <xf numFmtId="0" fontId="9" fillId="0" borderId="4" xfId="0" applyFont="1" applyBorder="1" applyAlignment="1" quotePrefix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</cellXfs>
  <cellStyles count="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  <cellStyle name="Normal 2" xfId="21"/>
    <cellStyle name="Normal 3" xfId="22"/>
    <cellStyle name="Normal 3 2" xfId="23"/>
    <cellStyle name="Normal 3 3" xfId="24"/>
    <cellStyle name="Normal 4" xfId="2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calcChain" Target="calcChain.xml" /><Relationship Id="rId6" Type="http://schemas.openxmlformats.org/officeDocument/2006/relationships/worksheet" Target="worksheets/sheet4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/Relationships>
</file>

<file path=xl/ctrProps/ctrProp1.xml><?xml version="1.0" encoding="utf-8"?>
<formControlPr xmlns="http://schemas.microsoft.com/office/spreadsheetml/2009/9/main" objectType="Button" lockText="1"/>
</file>

<file path=xl/ctrProps/ctrProp2.xml><?xml version="1.0" encoding="utf-8"?>
<formControlPr xmlns="http://schemas.microsoft.com/office/spreadsheetml/2009/9/main" objectType="Button" lockText="1"/>
</file>

<file path=xl/ctrProps/ctrProp3.xml><?xml version="1.0" encoding="utf-8"?>
<formControlPr xmlns="http://schemas.microsoft.com/office/spreadsheetml/2009/9/main" objectType="Button" lockText="1"/>
</file>

<file path=xl/ctrProps/ctrProp4.xml><?xml version="1.0" encoding="utf-8"?>
<formControlPr xmlns="http://schemas.microsoft.com/office/spreadsheetml/2009/9/main" objectType="Button" lockText="1"/>
</file>

<file path=xl/ctrProps/ctrProp5.xml><?xml version="1.0" encoding="utf-8"?>
<formControlPr xmlns="http://schemas.microsoft.com/office/spreadsheetml/2009/9/main" objectType="Button" lockText="1"/>
</file>

<file path=xl/ctrProps/ctrProp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76200</xdr:colOff>
          <xdr:row>1</xdr:row>
          <xdr:rowOff>28575</xdr:rowOff>
        </xdr:from>
        <xdr:to>
          <xdr:col>45</xdr:col>
          <xdr:colOff>47625</xdr:colOff>
          <xdr:row>2</xdr:row>
          <xdr:rowOff>66675</xdr:rowOff>
        </xdr:to>
        <xdr:sp macro="[0]!Button1_Click" fLocksText="0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>
              <a:spLocks noRot="1"/>
            </xdr:cNvSpPr>
          </xdr:nvSpPr>
          <xdr:spPr>
            <a:xfrm>
              <a:off x="6715125" y="209550"/>
              <a:ext cx="619125" cy="219075"/>
            </a:xfrm>
            <a:custGeom>
              <a:pathLst>
                <a:path h="21600" w="21600">
                  <a:moveTo>
                    <a:pt x="0" y="0"/>
                  </a:moveTo>
                  <a:lnTo>
                    <a:pt x="0" y="21600"/>
                  </a:lnTo>
                  <a:lnTo>
                    <a:pt x="21600" y="0"/>
                  </a:lnTo>
                  <a:close/>
                </a:path>
              </a:pathLst>
            </a:custGeom>
            <a:ln>
              <a:solidFill>
                <a:srgbClr val="000000"/>
              </a:solidFill>
            </a:ln>
          </xdr:spPr>
          <xdr:txBody>
            <a:bodyPr lIns="27432" tIns="27432" rIns="27432" bIns="27432" vertOverflow="clip" wrap="square" anchor="ctr" upright="1"/>
            <a:p>
              <a:pPr algn="ctr" rtl="0"/>
              <a:r>
                <a:rPr lang="en-US" sz="1100" u="none" b="0" i="0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12</xdr:col>
      <xdr:colOff>152400</xdr:colOff>
      <xdr:row>23</xdr:row>
      <xdr:rowOff>47625</xdr:rowOff>
    </xdr:from>
    <xdr:to>
      <xdr:col>12</xdr:col>
      <xdr:colOff>152400</xdr:colOff>
      <xdr:row>23</xdr:row>
      <xdr:rowOff>47625</xdr:rowOff>
    </xdr:to>
    <xdr:sp>
      <xdr:nvSpPr>
        <xdr:cNvPr id="5" name="Line 2"/>
        <xdr:cNvSpPr>
          <a:spLocks noChangeShapeType="1"/>
        </xdr:cNvSpPr>
      </xdr:nvSpPr>
      <xdr:spPr bwMode="auto">
        <a:xfrm>
          <a:off x="2095500" y="3933825"/>
          <a:ext cx="0" cy="0"/>
        </a:xfrm>
        <a:prstGeom prst="line"/>
        <a:noFill/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9525</xdr:colOff>
          <xdr:row>1</xdr:row>
          <xdr:rowOff>0</xdr:rowOff>
        </xdr:from>
        <xdr:to>
          <xdr:col>47</xdr:col>
          <xdr:colOff>76200</xdr:colOff>
          <xdr:row>2</xdr:row>
          <xdr:rowOff>76200</xdr:rowOff>
        </xdr:to>
        <xdr:sp macro="[0]!AnnexureI_Button1_Click" fLocksText="0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>
              <a:spLocks noRot="1"/>
            </xdr:cNvSpPr>
          </xdr:nvSpPr>
          <xdr:spPr>
            <a:xfrm>
              <a:off x="6972300" y="171450"/>
              <a:ext cx="714375" cy="247650"/>
            </a:xfrm>
            <a:custGeom>
              <a:pathLst>
                <a:path h="21600" w="21600">
                  <a:moveTo>
                    <a:pt x="0" y="0"/>
                  </a:moveTo>
                  <a:lnTo>
                    <a:pt x="0" y="21600"/>
                  </a:lnTo>
                  <a:lnTo>
                    <a:pt x="21600" y="0"/>
                  </a:lnTo>
                  <a:close/>
                </a:path>
              </a:pathLst>
            </a:custGeom>
            <a:ln>
              <a:solidFill>
                <a:srgbClr val="000000"/>
              </a:solidFill>
            </a:ln>
          </xdr:spPr>
          <xdr:txBody>
            <a:bodyPr lIns="27432" tIns="27432" rIns="27432" bIns="27432" vertOverflow="clip" wrap="square" anchor="ctr" upright="1"/>
            <a:p>
              <a:pPr algn="ctr" rtl="0"/>
              <a:r>
                <a:rPr lang="en-US" sz="1100" u="none" b="0" i="0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12</xdr:col>
      <xdr:colOff>152400</xdr:colOff>
      <xdr:row>24</xdr:row>
      <xdr:rowOff>47625</xdr:rowOff>
    </xdr:from>
    <xdr:to>
      <xdr:col>12</xdr:col>
      <xdr:colOff>152400</xdr:colOff>
      <xdr:row>24</xdr:row>
      <xdr:rowOff>47625</xdr:rowOff>
    </xdr:to>
    <xdr:sp>
      <xdr:nvSpPr>
        <xdr:cNvPr id="2" name="Line 2"/>
        <xdr:cNvSpPr>
          <a:spLocks noChangeShapeType="1"/>
        </xdr:cNvSpPr>
      </xdr:nvSpPr>
      <xdr:spPr bwMode="auto">
        <a:xfrm>
          <a:off x="2095500" y="4162425"/>
          <a:ext cx="0" cy="0"/>
        </a:xfrm>
        <a:prstGeom prst="line"/>
        <a:noFill/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38100</xdr:colOff>
          <xdr:row>0</xdr:row>
          <xdr:rowOff>161925</xdr:rowOff>
        </xdr:from>
        <xdr:to>
          <xdr:col>48</xdr:col>
          <xdr:colOff>19050</xdr:colOff>
          <xdr:row>2</xdr:row>
          <xdr:rowOff>47625</xdr:rowOff>
        </xdr:to>
        <xdr:sp macro="[0]!AnnexureIContd_Button1_Click" fLocksText="0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>
              <a:spLocks noRot="1"/>
            </xdr:cNvSpPr>
          </xdr:nvSpPr>
          <xdr:spPr>
            <a:xfrm>
              <a:off x="7058025" y="161925"/>
              <a:ext cx="838200" cy="228600"/>
            </a:xfrm>
            <a:custGeom>
              <a:pathLst>
                <a:path h="21600" w="21600">
                  <a:moveTo>
                    <a:pt x="0" y="0"/>
                  </a:moveTo>
                  <a:lnTo>
                    <a:pt x="0" y="21600"/>
                  </a:lnTo>
                  <a:lnTo>
                    <a:pt x="21600" y="0"/>
                  </a:lnTo>
                  <a:close/>
                </a:path>
              </a:pathLst>
            </a:custGeom>
            <a:ln>
              <a:solidFill>
                <a:srgbClr val="000000"/>
              </a:solidFill>
            </a:ln>
          </xdr:spPr>
          <xdr:txBody>
            <a:bodyPr lIns="27432" tIns="27432" rIns="27432" bIns="27432" vertOverflow="clip" wrap="square" anchor="ctr" upright="1"/>
            <a:p>
              <a:pPr algn="ctr" rtl="0"/>
              <a:r>
                <a:rPr lang="en-US" sz="1100" u="none" b="0" i="0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>
        <xdr:from>
          <xdr:col>42</xdr:col>
          <xdr:colOff>142875</xdr:colOff>
          <xdr:row>1</xdr:row>
          <xdr:rowOff>38100</xdr:rowOff>
        </xdr:from>
        <xdr:to>
          <xdr:col>49</xdr:col>
          <xdr:colOff>0</xdr:colOff>
          <xdr:row>2</xdr:row>
          <xdr:rowOff>85725</xdr:rowOff>
        </xdr:to>
        <xdr:sp macro="[0]!AnnexureIA_Button1_Click" fLocksText="0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>
              <a:spLocks noRot="1"/>
            </xdr:cNvSpPr>
          </xdr:nvSpPr>
          <xdr:spPr>
            <a:xfrm>
              <a:off x="6943725" y="209550"/>
              <a:ext cx="990600" cy="219075"/>
            </a:xfrm>
            <a:custGeom>
              <a:pathLst>
                <a:path h="21600" w="21600">
                  <a:moveTo>
                    <a:pt x="0" y="0"/>
                  </a:moveTo>
                  <a:lnTo>
                    <a:pt x="0" y="21600"/>
                  </a:lnTo>
                  <a:lnTo>
                    <a:pt x="21600" y="0"/>
                  </a:lnTo>
                  <a:close/>
                </a:path>
              </a:pathLst>
            </a:custGeom>
            <a:ln>
              <a:solidFill>
                <a:srgbClr val="000000"/>
              </a:solidFill>
            </a:ln>
          </xdr:spPr>
          <xdr:txBody>
            <a:bodyPr lIns="27432" tIns="27432" rIns="27432" bIns="27432" vertOverflow="clip" wrap="square" anchor="ctr" upright="1"/>
            <a:p>
              <a:pPr algn="ctr" rtl="0"/>
              <a:r>
                <a:rPr lang="en-US" sz="1100" u="none" b="0" i="0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95250</xdr:colOff>
          <xdr:row>0</xdr:row>
          <xdr:rowOff>142875</xdr:rowOff>
        </xdr:from>
        <xdr:to>
          <xdr:col>48</xdr:col>
          <xdr:colOff>152400</xdr:colOff>
          <xdr:row>2</xdr:row>
          <xdr:rowOff>76200</xdr:rowOff>
        </xdr:to>
        <xdr:sp macro="[0]!AnnexureIBII_Button1_Click" fLocksText="0">
          <xdr:nvSpPr>
            <xdr:cNvPr id="5121" name="Button 1" hidden="1">
              <a:extLst>
                <a:ext uri="{63B3BB69-23CF-44E3-9099-C40C66FF867C}">
                  <a14:compatExt spid="_x0000_s5121"/>
                </a:ext>
              </a:extLst>
            </xdr:cNvPr>
            <xdr:cNvSpPr>
              <a:spLocks noRot="1"/>
            </xdr:cNvSpPr>
          </xdr:nvSpPr>
          <xdr:spPr>
            <a:xfrm>
              <a:off x="7058025" y="142875"/>
              <a:ext cx="866775" cy="276225"/>
            </a:xfrm>
            <a:custGeom>
              <a:pathLst>
                <a:path h="21600" w="21600">
                  <a:moveTo>
                    <a:pt x="0" y="0"/>
                  </a:moveTo>
                  <a:lnTo>
                    <a:pt x="0" y="21600"/>
                  </a:lnTo>
                  <a:lnTo>
                    <a:pt x="21600" y="0"/>
                  </a:lnTo>
                  <a:close/>
                </a:path>
              </a:pathLst>
            </a:custGeom>
            <a:ln>
              <a:solidFill>
                <a:srgbClr val="000000"/>
              </a:solidFill>
            </a:ln>
          </xdr:spPr>
          <xdr:txBody>
            <a:bodyPr lIns="27432" tIns="27432" rIns="27432" bIns="27432" vertOverflow="clip" wrap="square" anchor="ctr" upright="1"/>
            <a:p>
              <a:pPr algn="ctr" rtl="0"/>
              <a:r>
                <a:rPr lang="en-US" sz="1100" u="none" b="0" i="0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152400</xdr:colOff>
      <xdr:row>2</xdr:row>
      <xdr:rowOff>47625</xdr:rowOff>
    </xdr:from>
    <xdr:to>
      <xdr:col>11</xdr:col>
      <xdr:colOff>152400</xdr:colOff>
      <xdr:row>2</xdr:row>
      <xdr:rowOff>47625</xdr:rowOff>
    </xdr:to>
    <xdr:sp>
      <xdr:nvSpPr>
        <xdr:cNvPr id="2" name="Line 2"/>
        <xdr:cNvSpPr>
          <a:spLocks noChangeShapeType="1"/>
        </xdr:cNvSpPr>
      </xdr:nvSpPr>
      <xdr:spPr bwMode="auto">
        <a:xfrm>
          <a:off x="1933575" y="390525"/>
          <a:ext cx="0" cy="0"/>
        </a:xfrm>
        <a:prstGeom prst="line"/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152400</xdr:colOff>
      <xdr:row>6</xdr:row>
      <xdr:rowOff>47625</xdr:rowOff>
    </xdr:from>
    <xdr:to>
      <xdr:col>11</xdr:col>
      <xdr:colOff>152400</xdr:colOff>
      <xdr:row>6</xdr:row>
      <xdr:rowOff>47625</xdr:rowOff>
    </xdr:to>
    <xdr:sp>
      <xdr:nvSpPr>
        <xdr:cNvPr id="3" name="Line 2"/>
        <xdr:cNvSpPr>
          <a:spLocks noChangeShapeType="1"/>
        </xdr:cNvSpPr>
      </xdr:nvSpPr>
      <xdr:spPr bwMode="auto">
        <a:xfrm>
          <a:off x="1933575" y="1076325"/>
          <a:ext cx="0" cy="0"/>
        </a:xfrm>
        <a:prstGeom prst="line"/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152400</xdr:colOff>
      <xdr:row>8</xdr:row>
      <xdr:rowOff>47625</xdr:rowOff>
    </xdr:from>
    <xdr:to>
      <xdr:col>11</xdr:col>
      <xdr:colOff>152400</xdr:colOff>
      <xdr:row>8</xdr:row>
      <xdr:rowOff>47625</xdr:rowOff>
    </xdr:to>
    <xdr:sp>
      <xdr:nvSpPr>
        <xdr:cNvPr id="4" name="Line 2"/>
        <xdr:cNvSpPr>
          <a:spLocks noChangeShapeType="1"/>
        </xdr:cNvSpPr>
      </xdr:nvSpPr>
      <xdr:spPr bwMode="auto">
        <a:xfrm>
          <a:off x="1933575" y="1419225"/>
          <a:ext cx="0" cy="0"/>
        </a:xfrm>
        <a:prstGeom prst="line"/>
        <a:noFill/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161925</xdr:colOff>
          <xdr:row>1</xdr:row>
          <xdr:rowOff>19050</xdr:rowOff>
        </xdr:from>
        <xdr:to>
          <xdr:col>48</xdr:col>
          <xdr:colOff>57150</xdr:colOff>
          <xdr:row>2</xdr:row>
          <xdr:rowOff>104775</xdr:rowOff>
        </xdr:to>
        <xdr:sp macro="[0]!AnnexureIII_Button1_Click" fLocksText="0">
          <xdr:nvSpPr>
            <xdr:cNvPr id="6145" name="Button 1" hidden="1">
              <a:extLst>
                <a:ext uri="{63B3BB69-23CF-44E3-9099-C40C66FF867C}">
                  <a14:compatExt spid="_x0000_s6145"/>
                </a:ext>
              </a:extLst>
            </xdr:cNvPr>
            <xdr:cNvSpPr>
              <a:spLocks noRot="1"/>
            </xdr:cNvSpPr>
          </xdr:nvSpPr>
          <xdr:spPr>
            <a:xfrm>
              <a:off x="6800850" y="190500"/>
              <a:ext cx="1028700" cy="257175"/>
            </a:xfrm>
            <a:custGeom>
              <a:pathLst>
                <a:path h="21600" w="21600">
                  <a:moveTo>
                    <a:pt x="0" y="0"/>
                  </a:moveTo>
                  <a:lnTo>
                    <a:pt x="0" y="21600"/>
                  </a:lnTo>
                  <a:lnTo>
                    <a:pt x="21600" y="0"/>
                  </a:lnTo>
                  <a:close/>
                </a:path>
              </a:pathLst>
            </a:custGeom>
            <a:ln>
              <a:solidFill>
                <a:srgbClr val="000000"/>
              </a:solidFill>
            </a:ln>
          </xdr:spPr>
          <xdr:txBody>
            <a:bodyPr lIns="27432" tIns="27432" rIns="27432" bIns="27432" vertOverflow="clip" wrap="square" anchor="ctr" upright="1"/>
            <a:p>
              <a:pPr algn="ctr" rtl="0"/>
              <a:r>
                <a:rPr lang="en-US" sz="1100" u="none" b="0" i="0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ctrlProp" Target="../ctrProps/ctrProp1.xml" /><Relationship Id="rId4" Type="http://schemas.openxmlformats.org/officeDocument/2006/relationships/printerSettings" Target="../printerSettings/printerSettings1.bin" /><Relationship Id="rId3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ctrlProp" Target="../ctrProps/ctrProp2.xml" /><Relationship Id="rId4" Type="http://schemas.openxmlformats.org/officeDocument/2006/relationships/printerSettings" Target="../printerSettings/printerSettings2.bin" /><Relationship Id="rId3" Type="http://schemas.openxmlformats.org/officeDocument/2006/relationships/vmlDrawing" Target="../drawings/vmlDrawing2.v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ctrlProp" Target="../ctrProps/ctrProp3.xml" /><Relationship Id="rId4" Type="http://schemas.openxmlformats.org/officeDocument/2006/relationships/printerSettings" Target="../printerSettings/printerSettings3.bin" /><Relationship Id="rId3" Type="http://schemas.openxmlformats.org/officeDocument/2006/relationships/vmlDrawing" Target="../drawings/vmlDrawing3.v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ctrlProp" Target="../ctrProps/ctrProp4.xml" /><Relationship Id="rId4" Type="http://schemas.openxmlformats.org/officeDocument/2006/relationships/printerSettings" Target="../printerSettings/printerSettings4.bin" /><Relationship Id="rId3" Type="http://schemas.openxmlformats.org/officeDocument/2006/relationships/vmlDrawing" Target="../drawings/vmlDrawing4.v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ctrlProp" Target="../ctrProps/ctrProp5.xml" /><Relationship Id="rId4" Type="http://schemas.openxmlformats.org/officeDocument/2006/relationships/printerSettings" Target="../printerSettings/printerSettings5.bin" /><Relationship Id="rId3" Type="http://schemas.openxmlformats.org/officeDocument/2006/relationships/vmlDrawing" Target="../drawings/vmlDrawing5.v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ctrlProp" Target="../ctrProps/ctrProp6.xml" /><Relationship Id="rId4" Type="http://schemas.openxmlformats.org/officeDocument/2006/relationships/printerSettings" Target="../printerSettings/printerSettings6.bin" /><Relationship Id="rId3" Type="http://schemas.openxmlformats.org/officeDocument/2006/relationships/vmlDrawing" Target="../drawings/vmlDrawing6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de25db-b9d5-47a5-97f9-b5ccc096b41e}">
  <sheetPr codeName="Sheet1"/>
  <dimension ref="A1:AW89"/>
  <sheetViews>
    <sheetView tabSelected="1" view="pageLayout" zoomScale="120" zoomScaleNormal="100" zoomScalePageLayoutView="120" workbookViewId="0" topLeftCell="A4">
      <selection pane="topLeft" activeCell="B19" sqref="B19:R20"/>
    </sheetView>
  </sheetViews>
  <sheetFormatPr defaultColWidth="2.4242857142857144" defaultRowHeight="13.5" customHeight="1"/>
  <cols>
    <col min="1" max="16384" width="2.4285714285714284" style="10"/>
  </cols>
  <sheetData>
    <row r="1" spans="1:38" ht="14.25" customHeight="1">
      <c r="A1" s="7" t="s">
        <v>373</v>
      </c>
      <c r="B1" s="7" t="s">
        <v>374</v>
      </c>
      <c r="C1" s="7" t="s">
        <v>375</v>
      </c>
      <c r="D1" s="7" t="s">
        <v>376</v>
      </c>
      <c r="E1" s="106">
        <v>4567</v>
      </c>
      <c r="F1" s="106"/>
      <c r="G1" s="106"/>
      <c r="H1" s="67"/>
      <c r="I1" s="67"/>
      <c r="J1" s="67"/>
      <c r="K1" s="6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18" t="s">
        <v>27</v>
      </c>
      <c r="AB1" s="118"/>
      <c r="AC1" s="102" t="s">
        <v>162</v>
      </c>
      <c r="AD1" s="102"/>
      <c r="AE1" s="102"/>
      <c r="AF1" s="102"/>
      <c r="AG1" s="102"/>
      <c r="AH1" s="102"/>
      <c r="AI1" s="102"/>
      <c r="AJ1" s="102"/>
      <c r="AK1" s="102"/>
      <c r="AL1" s="20"/>
    </row>
    <row r="2" spans="1:38" ht="14.25" customHeight="1">
      <c r="A2" s="11"/>
      <c r="B2" s="12"/>
      <c r="C2" s="12"/>
      <c r="D2" s="12"/>
      <c r="E2" s="13"/>
      <c r="F2" s="13"/>
      <c r="G2" s="13"/>
      <c r="H2" s="12"/>
      <c r="I2" s="12"/>
      <c r="J2" s="12"/>
      <c r="K2" s="119" t="s">
        <v>12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20"/>
      <c r="Z2" s="81" t="s">
        <v>3</v>
      </c>
      <c r="AA2" s="81"/>
      <c r="AB2" s="81"/>
      <c r="AC2" s="123" t="s">
        <v>26</v>
      </c>
      <c r="AD2" s="123"/>
      <c r="AE2" s="123"/>
      <c r="AF2" s="81" t="s">
        <v>24</v>
      </c>
      <c r="AG2" s="81"/>
      <c r="AH2" s="81"/>
      <c r="AI2" s="81" t="s">
        <v>4</v>
      </c>
      <c r="AJ2" s="81"/>
      <c r="AK2" s="81"/>
      <c r="AL2" s="16"/>
    </row>
    <row r="3" spans="1:37" ht="14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20"/>
      <c r="Z3" s="81"/>
      <c r="AA3" s="81"/>
      <c r="AB3" s="81"/>
      <c r="AC3" s="123"/>
      <c r="AD3" s="123"/>
      <c r="AE3" s="123"/>
      <c r="AF3" s="81"/>
      <c r="AG3" s="81"/>
      <c r="AH3" s="81"/>
      <c r="AI3" s="81"/>
      <c r="AJ3" s="81"/>
      <c r="AK3" s="81"/>
    </row>
    <row r="4" spans="1:37" ht="14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1" t="s">
        <v>0</v>
      </c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</row>
    <row r="5" spans="1:49" ht="14.25" customHeight="1">
      <c r="A5" s="14"/>
      <c r="B5" s="14"/>
      <c r="C5" s="14"/>
      <c r="D5" s="14"/>
      <c r="E5" s="14"/>
      <c r="F5" s="14"/>
      <c r="G5" s="14"/>
      <c r="J5" s="124" t="s">
        <v>14</v>
      </c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24"/>
      <c r="AB5" s="24"/>
      <c r="AC5" s="14"/>
      <c r="AD5" s="14"/>
      <c r="AE5" s="14"/>
      <c r="AF5" s="14"/>
      <c r="AG5" s="14"/>
      <c r="AH5" s="14"/>
      <c r="AI5" s="14"/>
      <c r="AJ5" s="14"/>
      <c r="AK5" s="14"/>
      <c r="AL5" s="14"/>
      <c r="AO5" s="77" t="s">
        <v>353</v>
      </c>
      <c r="AP5" s="78"/>
      <c r="AQ5" s="78"/>
      <c r="AR5" s="79"/>
      <c r="AS5" s="54"/>
      <c r="AT5" s="54"/>
      <c r="AU5" s="71">
        <v>0.75</v>
      </c>
      <c r="AV5" s="72"/>
      <c r="AW5" s="73"/>
    </row>
    <row r="6" spans="1:49" ht="14.25" customHeight="1">
      <c r="A6" s="60"/>
      <c r="B6" s="60"/>
      <c r="C6" s="60"/>
      <c r="D6" s="60"/>
      <c r="E6" s="60"/>
      <c r="F6" s="60"/>
      <c r="G6" s="60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24"/>
      <c r="AB6" s="24"/>
      <c r="AC6" s="60"/>
      <c r="AD6" s="60"/>
      <c r="AE6" s="60"/>
      <c r="AF6" s="60"/>
      <c r="AG6" s="60"/>
      <c r="AH6" s="60"/>
      <c r="AI6" s="60"/>
      <c r="AJ6" s="60"/>
      <c r="AK6" s="60"/>
      <c r="AL6" s="60"/>
      <c r="AO6" s="61"/>
      <c r="AP6" s="61"/>
      <c r="AQ6" s="61"/>
      <c r="AR6" s="61"/>
      <c r="AS6" s="54"/>
      <c r="AT6" s="54"/>
      <c r="AU6" s="62"/>
      <c r="AV6" s="62"/>
      <c r="AW6" s="62"/>
    </row>
    <row r="7" spans="1:49" ht="14.25" customHeight="1">
      <c r="A7" s="41" t="s">
        <v>107</v>
      </c>
      <c r="B7" s="125" t="s">
        <v>148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25"/>
      <c r="AO7" s="74" t="s">
        <v>354</v>
      </c>
      <c r="AP7" s="75"/>
      <c r="AQ7" s="75"/>
      <c r="AR7" s="76"/>
      <c r="AS7" s="55"/>
      <c r="AT7" s="55"/>
      <c r="AU7" s="71">
        <v>0.34999999999999998</v>
      </c>
      <c r="AV7" s="72"/>
      <c r="AW7" s="73"/>
    </row>
    <row r="8" spans="1:38" ht="14.25" customHeight="1">
      <c r="A8" s="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25"/>
    </row>
    <row r="9" spans="1:49" s="15" customFormat="1" ht="14.25" customHeight="1">
      <c r="A9" s="26"/>
      <c r="B9" s="127" t="s">
        <v>131</v>
      </c>
      <c r="C9" s="127"/>
      <c r="D9" s="127"/>
      <c r="E9" s="127"/>
      <c r="F9" s="127"/>
      <c r="G9" s="127"/>
      <c r="H9" s="127"/>
      <c r="I9" s="127"/>
      <c r="J9" s="127"/>
      <c r="K9" s="128" t="s">
        <v>132</v>
      </c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25"/>
      <c r="AO9" s="70" t="s">
        <v>355</v>
      </c>
      <c r="AP9" s="70"/>
      <c r="AQ9" s="70"/>
      <c r="AR9" s="70"/>
      <c r="AS9" s="54"/>
      <c r="AT9" s="54"/>
      <c r="AU9" s="71">
        <v>1.54</v>
      </c>
      <c r="AV9" s="72"/>
      <c r="AW9" s="73"/>
    </row>
    <row r="10" spans="1:38" ht="14.25" customHeight="1">
      <c r="A10" s="26"/>
      <c r="B10" s="82"/>
      <c r="C10" s="82"/>
      <c r="D10" s="82"/>
      <c r="E10" s="82"/>
      <c r="F10" s="82"/>
      <c r="G10" s="82"/>
      <c r="H10" s="82"/>
      <c r="I10" s="82"/>
      <c r="J10" s="82"/>
      <c r="K10" s="137" t="s">
        <v>377</v>
      </c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9"/>
      <c r="AL10" s="26"/>
    </row>
    <row r="11" spans="1:49" ht="14.25" customHeight="1">
      <c r="A11" s="26"/>
      <c r="B11" s="82"/>
      <c r="C11" s="82"/>
      <c r="D11" s="82"/>
      <c r="E11" s="82"/>
      <c r="F11" s="82"/>
      <c r="G11" s="82"/>
      <c r="H11" s="82"/>
      <c r="I11" s="82"/>
      <c r="J11" s="82"/>
      <c r="K11" s="140" t="s">
        <v>378</v>
      </c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2"/>
      <c r="AL11" s="26"/>
      <c r="AO11" s="70" t="s">
        <v>356</v>
      </c>
      <c r="AP11" s="70"/>
      <c r="AQ11" s="70"/>
      <c r="AR11" s="70"/>
      <c r="AS11" s="54"/>
      <c r="AT11" s="54"/>
      <c r="AU11" s="80">
        <v>0</v>
      </c>
      <c r="AV11" s="80"/>
      <c r="AW11" s="80"/>
    </row>
    <row r="12" spans="1:49" ht="14.25" customHeight="1">
      <c r="A12" s="26"/>
      <c r="B12" s="82"/>
      <c r="C12" s="82"/>
      <c r="D12" s="82"/>
      <c r="E12" s="82"/>
      <c r="F12" s="82"/>
      <c r="G12" s="82"/>
      <c r="H12" s="82"/>
      <c r="I12" s="82"/>
      <c r="J12" s="82"/>
      <c r="K12" s="140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2"/>
      <c r="AL12" s="26"/>
      <c r="AO12" s="57"/>
      <c r="AP12" s="57"/>
      <c r="AQ12" s="57"/>
      <c r="AR12" s="57"/>
      <c r="AS12" s="57"/>
      <c r="AT12" s="57"/>
      <c r="AU12" s="56"/>
      <c r="AV12" s="56"/>
      <c r="AW12" s="56"/>
    </row>
    <row r="13" spans="1:49" ht="14.25" customHeight="1">
      <c r="A13" s="26"/>
      <c r="B13" s="82"/>
      <c r="C13" s="82"/>
      <c r="D13" s="82"/>
      <c r="E13" s="82"/>
      <c r="F13" s="82"/>
      <c r="G13" s="82"/>
      <c r="H13" s="82"/>
      <c r="I13" s="82"/>
      <c r="J13" s="82"/>
      <c r="K13" s="136" t="s">
        <v>81</v>
      </c>
      <c r="L13" s="118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3"/>
      <c r="AL13" s="26"/>
      <c r="AO13" s="70" t="s">
        <v>357</v>
      </c>
      <c r="AP13" s="70"/>
      <c r="AQ13" s="70"/>
      <c r="AR13" s="70"/>
      <c r="AS13" s="70"/>
      <c r="AT13" s="57"/>
      <c r="AU13" s="71">
        <v>0</v>
      </c>
      <c r="AV13" s="72"/>
      <c r="AW13" s="73"/>
    </row>
    <row r="14" spans="1:49" s="15" customFormat="1" ht="14.25" customHeight="1">
      <c r="A14" s="26"/>
      <c r="B14" s="81" t="s">
        <v>346</v>
      </c>
      <c r="C14" s="81"/>
      <c r="D14" s="81"/>
      <c r="E14" s="81"/>
      <c r="F14" s="81"/>
      <c r="G14" s="81"/>
      <c r="H14" s="81"/>
      <c r="I14" s="81"/>
      <c r="J14" s="81"/>
      <c r="K14" s="81"/>
      <c r="L14" s="81" t="s">
        <v>16</v>
      </c>
      <c r="M14" s="81"/>
      <c r="N14" s="81"/>
      <c r="O14" s="81"/>
      <c r="P14" s="81"/>
      <c r="Q14" s="81"/>
      <c r="R14" s="81"/>
      <c r="S14" s="81"/>
      <c r="T14" s="81"/>
      <c r="U14" s="81" t="s">
        <v>106</v>
      </c>
      <c r="V14" s="81"/>
      <c r="W14" s="81"/>
      <c r="X14" s="81"/>
      <c r="Y14" s="81"/>
      <c r="Z14" s="81" t="s">
        <v>15</v>
      </c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25"/>
      <c r="AO14" s="55"/>
      <c r="AP14" s="55"/>
      <c r="AQ14" s="55"/>
      <c r="AR14" s="55"/>
      <c r="AS14" s="55"/>
      <c r="AT14" s="57"/>
      <c r="AU14" s="56"/>
      <c r="AV14" s="56"/>
      <c r="AW14" s="56"/>
    </row>
    <row r="15" spans="1:49" ht="14.25" customHeight="1">
      <c r="A15" s="26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26"/>
      <c r="AO15" s="74" t="s">
        <v>358</v>
      </c>
      <c r="AP15" s="75"/>
      <c r="AQ15" s="75"/>
      <c r="AR15" s="76"/>
      <c r="AS15" s="55"/>
      <c r="AT15" s="57"/>
      <c r="AU15" s="71">
        <v>0.20000000000000001</v>
      </c>
      <c r="AV15" s="72"/>
      <c r="AW15" s="73"/>
    </row>
    <row r="16" spans="1:38" ht="14.25" customHeight="1">
      <c r="A16" s="26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26"/>
    </row>
    <row r="17" spans="1:38" ht="14.25" customHeight="1">
      <c r="A17" s="26"/>
      <c r="B17" s="130" t="s">
        <v>17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2"/>
      <c r="S17" s="130" t="s">
        <v>108</v>
      </c>
      <c r="T17" s="131"/>
      <c r="U17" s="131"/>
      <c r="V17" s="131"/>
      <c r="W17" s="131"/>
      <c r="X17" s="131"/>
      <c r="Y17" s="132"/>
      <c r="Z17" s="123" t="s">
        <v>28</v>
      </c>
      <c r="AA17" s="123"/>
      <c r="AB17" s="123"/>
      <c r="AC17" s="123"/>
      <c r="AD17" s="123"/>
      <c r="AE17" s="123"/>
      <c r="AF17" s="81" t="s">
        <v>29</v>
      </c>
      <c r="AG17" s="81"/>
      <c r="AH17" s="81"/>
      <c r="AI17" s="81"/>
      <c r="AJ17" s="81"/>
      <c r="AK17" s="81"/>
      <c r="AL17" s="26"/>
    </row>
    <row r="18" spans="1:38" ht="14.25" customHeight="1">
      <c r="A18" s="26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5"/>
      <c r="S18" s="133"/>
      <c r="T18" s="134"/>
      <c r="U18" s="134"/>
      <c r="V18" s="134"/>
      <c r="W18" s="134"/>
      <c r="X18" s="134"/>
      <c r="Y18" s="135"/>
      <c r="Z18" s="123"/>
      <c r="AA18" s="123"/>
      <c r="AB18" s="123"/>
      <c r="AC18" s="123"/>
      <c r="AD18" s="123"/>
      <c r="AE18" s="123"/>
      <c r="AF18" s="81"/>
      <c r="AG18" s="81"/>
      <c r="AH18" s="81"/>
      <c r="AI18" s="81"/>
      <c r="AJ18" s="81"/>
      <c r="AK18" s="81"/>
      <c r="AL18" s="26"/>
    </row>
    <row r="19" spans="1:38" ht="14.25" customHeight="1">
      <c r="A19" s="26"/>
      <c r="B19" s="83" t="s">
        <v>379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5"/>
      <c r="S19" s="89" t="s">
        <v>380</v>
      </c>
      <c r="T19" s="90"/>
      <c r="U19" s="90"/>
      <c r="V19" s="90"/>
      <c r="W19" s="90"/>
      <c r="X19" s="90"/>
      <c r="Y19" s="91"/>
      <c r="Z19" s="104" t="s">
        <v>380</v>
      </c>
      <c r="AA19" s="104"/>
      <c r="AB19" s="104"/>
      <c r="AC19" s="104"/>
      <c r="AD19" s="104"/>
      <c r="AE19" s="104"/>
      <c r="AF19" s="104" t="s">
        <v>380</v>
      </c>
      <c r="AG19" s="104"/>
      <c r="AH19" s="104"/>
      <c r="AI19" s="104"/>
      <c r="AJ19" s="104"/>
      <c r="AK19" s="104"/>
      <c r="AL19" s="25"/>
    </row>
    <row r="20" spans="1:38" ht="14.25" customHeight="1">
      <c r="A20" s="26"/>
      <c r="B20" s="8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8"/>
      <c r="S20" s="92"/>
      <c r="T20" s="93"/>
      <c r="U20" s="93"/>
      <c r="V20" s="93"/>
      <c r="W20" s="93"/>
      <c r="X20" s="93"/>
      <c r="Y20" s="9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26"/>
    </row>
    <row r="21" spans="1:38" ht="14.25" customHeight="1">
      <c r="A21" s="26"/>
      <c r="B21" s="81" t="s">
        <v>116</v>
      </c>
      <c r="C21" s="81"/>
      <c r="D21" s="81"/>
      <c r="E21" s="81"/>
      <c r="F21" s="81"/>
      <c r="G21" s="81"/>
      <c r="H21" s="81"/>
      <c r="I21" s="81"/>
      <c r="J21" s="81"/>
      <c r="K21" s="114" t="s">
        <v>154</v>
      </c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25"/>
    </row>
    <row r="22" spans="1:40" ht="14.25" customHeight="1">
      <c r="A22" s="29" t="s">
        <v>109</v>
      </c>
      <c r="B22" s="151" t="s">
        <v>151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7"/>
      <c r="AM22" s="17"/>
      <c r="AN22" s="17"/>
    </row>
    <row r="23" spans="1:40" ht="14.25" customHeight="1">
      <c r="A23" s="27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27"/>
      <c r="AM23" s="27"/>
      <c r="AN23" s="27"/>
    </row>
    <row r="24" spans="1:40" ht="14.25" customHeight="1">
      <c r="A24" s="27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27"/>
      <c r="AM24" s="27"/>
      <c r="AN24" s="27"/>
    </row>
    <row r="25" spans="1:40" ht="14.25" customHeight="1">
      <c r="A25" s="27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27"/>
      <c r="AM25" s="27"/>
      <c r="AN25" s="27"/>
    </row>
    <row r="26" spans="1:40" ht="14.25" customHeight="1">
      <c r="A26" s="28" t="s">
        <v>110</v>
      </c>
      <c r="B26" s="109" t="s">
        <v>149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8"/>
      <c r="AM26" s="18"/>
      <c r="AN26" s="18"/>
    </row>
    <row r="27" spans="1:40" ht="14.25" customHeight="1">
      <c r="A27" s="27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27"/>
      <c r="AM27" s="27"/>
      <c r="AN27" s="27"/>
    </row>
    <row r="28" spans="1:40" ht="14.25" customHeight="1">
      <c r="A28" s="27"/>
      <c r="B28" s="111" t="s">
        <v>18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3"/>
      <c r="O28" s="106" t="s">
        <v>19</v>
      </c>
      <c r="P28" s="106"/>
      <c r="Q28" s="106"/>
      <c r="R28" s="106"/>
      <c r="S28" s="106"/>
      <c r="T28" s="106" t="s">
        <v>2</v>
      </c>
      <c r="U28" s="106"/>
      <c r="V28" s="106"/>
      <c r="W28" s="106"/>
      <c r="X28" s="106"/>
      <c r="Y28" s="106" t="s">
        <v>1</v>
      </c>
      <c r="Z28" s="106"/>
      <c r="AA28" s="106"/>
      <c r="AB28" s="106"/>
      <c r="AC28" s="106"/>
      <c r="AD28" s="106" t="s">
        <v>20</v>
      </c>
      <c r="AE28" s="106"/>
      <c r="AF28" s="106"/>
      <c r="AG28" s="106"/>
      <c r="AH28" s="106"/>
      <c r="AI28" s="106"/>
      <c r="AJ28" s="106"/>
      <c r="AK28" s="106"/>
      <c r="AL28" s="27"/>
      <c r="AM28" s="27"/>
      <c r="AN28" s="27"/>
    </row>
    <row r="29" spans="1:40" ht="14.25" customHeight="1">
      <c r="A29" s="27"/>
      <c r="B29" s="95" t="s">
        <v>169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7"/>
      <c r="O29" s="89" t="s">
        <v>165</v>
      </c>
      <c r="P29" s="90"/>
      <c r="Q29" s="90"/>
      <c r="R29" s="90"/>
      <c r="S29" s="91"/>
      <c r="T29" s="89" t="s">
        <v>166</v>
      </c>
      <c r="U29" s="90"/>
      <c r="V29" s="90"/>
      <c r="W29" s="90"/>
      <c r="X29" s="91"/>
      <c r="Y29" s="104" t="s">
        <v>130</v>
      </c>
      <c r="Z29" s="104"/>
      <c r="AA29" s="104"/>
      <c r="AB29" s="104"/>
      <c r="AC29" s="104"/>
      <c r="AD29" s="89" t="s">
        <v>168</v>
      </c>
      <c r="AE29" s="90"/>
      <c r="AF29" s="90"/>
      <c r="AG29" s="90"/>
      <c r="AH29" s="90"/>
      <c r="AI29" s="90"/>
      <c r="AJ29" s="90"/>
      <c r="AK29" s="91"/>
      <c r="AL29" s="27"/>
      <c r="AM29" s="27"/>
      <c r="AN29" s="27"/>
    </row>
    <row r="30" spans="1:40" ht="14.25" customHeight="1">
      <c r="A30" s="27"/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100"/>
      <c r="O30" s="92"/>
      <c r="P30" s="93"/>
      <c r="Q30" s="93"/>
      <c r="R30" s="93"/>
      <c r="S30" s="94"/>
      <c r="T30" s="92"/>
      <c r="U30" s="93"/>
      <c r="V30" s="93"/>
      <c r="W30" s="93"/>
      <c r="X30" s="94"/>
      <c r="Y30" s="145" t="s">
        <v>167</v>
      </c>
      <c r="Z30" s="146"/>
      <c r="AA30" s="146"/>
      <c r="AB30" s="146"/>
      <c r="AC30" s="147"/>
      <c r="AD30" s="92"/>
      <c r="AE30" s="93"/>
      <c r="AF30" s="93"/>
      <c r="AG30" s="93"/>
      <c r="AH30" s="93"/>
      <c r="AI30" s="93"/>
      <c r="AJ30" s="93"/>
      <c r="AK30" s="94"/>
      <c r="AL30" s="27"/>
      <c r="AM30" s="27"/>
      <c r="AN30" s="27"/>
    </row>
    <row r="31" spans="1:40" ht="14.25" customHeight="1">
      <c r="A31" s="27"/>
      <c r="B31" s="10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3"/>
      <c r="O31" s="104" t="s">
        <v>170</v>
      </c>
      <c r="P31" s="104"/>
      <c r="Q31" s="104"/>
      <c r="R31" s="104"/>
      <c r="S31" s="104"/>
      <c r="T31" s="104" t="s">
        <v>171</v>
      </c>
      <c r="U31" s="104"/>
      <c r="V31" s="104"/>
      <c r="W31" s="104"/>
      <c r="X31" s="104"/>
      <c r="Y31" s="145" t="s">
        <v>172</v>
      </c>
      <c r="Z31" s="146"/>
      <c r="AA31" s="146"/>
      <c r="AB31" s="146"/>
      <c r="AC31" s="147"/>
      <c r="AD31" s="104" t="s">
        <v>173</v>
      </c>
      <c r="AE31" s="104"/>
      <c r="AF31" s="104"/>
      <c r="AG31" s="104"/>
      <c r="AH31" s="104"/>
      <c r="AI31" s="104"/>
      <c r="AJ31" s="104"/>
      <c r="AK31" s="104"/>
      <c r="AL31" s="27"/>
      <c r="AM31" s="27"/>
      <c r="AN31" s="27"/>
    </row>
    <row r="32" spans="1:40" ht="13.5" customHeight="1">
      <c r="A32" s="27"/>
      <c r="B32" s="148" t="s">
        <v>347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50"/>
      <c r="O32" s="104" t="s">
        <v>348</v>
      </c>
      <c r="P32" s="104"/>
      <c r="Q32" s="104"/>
      <c r="R32" s="104"/>
      <c r="S32" s="104"/>
      <c r="T32" s="104" t="s">
        <v>349</v>
      </c>
      <c r="U32" s="104"/>
      <c r="V32" s="104"/>
      <c r="W32" s="104"/>
      <c r="X32" s="104"/>
      <c r="Y32" s="104" t="s">
        <v>349</v>
      </c>
      <c r="Z32" s="104"/>
      <c r="AA32" s="104"/>
      <c r="AB32" s="104"/>
      <c r="AC32" s="104"/>
      <c r="AD32" s="104" t="s">
        <v>350</v>
      </c>
      <c r="AE32" s="104"/>
      <c r="AF32" s="104"/>
      <c r="AG32" s="104"/>
      <c r="AH32" s="104"/>
      <c r="AI32" s="104"/>
      <c r="AJ32" s="104"/>
      <c r="AK32" s="104"/>
      <c r="AL32" s="27"/>
      <c r="AM32" s="27"/>
      <c r="AN32" s="27"/>
    </row>
    <row r="33" spans="1:40" ht="13.5" customHeight="1">
      <c r="A33" s="27"/>
      <c r="B33" s="111" t="s">
        <v>155</v>
      </c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3"/>
      <c r="AL33" s="27"/>
      <c r="AM33" s="27"/>
      <c r="AN33" s="27"/>
    </row>
    <row r="34" spans="1:40" ht="13.5" customHeight="1">
      <c r="A34" s="28" t="s">
        <v>111</v>
      </c>
      <c r="B34" s="108" t="s">
        <v>152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27"/>
      <c r="AM34" s="27"/>
      <c r="AN34" s="27"/>
    </row>
    <row r="35" spans="1:40" ht="13.5" customHeight="1">
      <c r="A35" s="27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27"/>
      <c r="AM35" s="27"/>
      <c r="AN35" s="27"/>
    </row>
    <row r="36" spans="1:40" ht="13.5" customHeight="1">
      <c r="A36" s="27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27"/>
      <c r="AM36" s="27"/>
      <c r="AN36" s="27"/>
    </row>
    <row r="37" spans="1:40" ht="13.5" customHeight="1">
      <c r="A37" s="27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27"/>
      <c r="AM37" s="27"/>
      <c r="AN37" s="27"/>
    </row>
    <row r="38" spans="1:40" ht="13.5" customHeight="1">
      <c r="A38" s="27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27"/>
      <c r="AM38" s="27"/>
      <c r="AN38" s="27"/>
    </row>
    <row r="39" spans="1:40" ht="13.5" customHeight="1">
      <c r="A39" s="31" t="s">
        <v>112</v>
      </c>
      <c r="B39" s="110" t="s">
        <v>153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30"/>
      <c r="AM39" s="30"/>
      <c r="AN39" s="30"/>
    </row>
    <row r="40" spans="1:40" s="16" customFormat="1" ht="13.5" customHeight="1">
      <c r="A40" s="3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30"/>
      <c r="AM40" s="30"/>
      <c r="AN40" s="30"/>
    </row>
    <row r="41" spans="1:40" s="16" customFormat="1" ht="13.5" customHeight="1">
      <c r="A41" s="32" t="s">
        <v>114</v>
      </c>
      <c r="B41" s="144" t="s">
        <v>113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3" t="s">
        <v>352</v>
      </c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30"/>
      <c r="AM41" s="30"/>
      <c r="AN41" s="30"/>
    </row>
    <row r="42" spans="1:40" ht="13.5" customHeight="1">
      <c r="A42" s="105" t="s">
        <v>115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6"/>
      <c r="AJ42" s="106"/>
      <c r="AK42" s="106"/>
      <c r="AL42" s="30"/>
      <c r="AM42" s="30"/>
      <c r="AN42" s="30"/>
    </row>
    <row r="43" spans="1:40" ht="13.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6"/>
      <c r="AJ43" s="106"/>
      <c r="AK43" s="106"/>
      <c r="AL43" s="33"/>
      <c r="AM43" s="30"/>
      <c r="AN43" s="30"/>
    </row>
    <row r="44" spans="1:40" ht="13.5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6"/>
      <c r="AJ44" s="106"/>
      <c r="AK44" s="106"/>
      <c r="AL44" s="33"/>
      <c r="AM44" s="30"/>
      <c r="AN44" s="30"/>
    </row>
    <row r="45" spans="1:40" ht="13.5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6"/>
      <c r="AJ45" s="106"/>
      <c r="AK45" s="106"/>
      <c r="AL45" s="33"/>
      <c r="AM45" s="30"/>
      <c r="AN45" s="30"/>
    </row>
    <row r="46" spans="1:40" ht="13.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6"/>
      <c r="AJ46" s="106"/>
      <c r="AK46" s="106"/>
      <c r="AL46" s="33"/>
      <c r="AM46" s="30"/>
      <c r="AN46" s="30"/>
    </row>
    <row r="47" spans="1:40" ht="13.5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6"/>
      <c r="AJ47" s="106"/>
      <c r="AK47" s="106"/>
      <c r="AL47" s="33"/>
      <c r="AM47" s="30"/>
      <c r="AN47" s="30"/>
    </row>
    <row r="48" spans="1:40" ht="13.5" customHeight="1">
      <c r="A48" s="116" t="s">
        <v>371</v>
      </c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04"/>
      <c r="P48" s="104"/>
      <c r="Q48" s="104"/>
      <c r="R48" s="104"/>
      <c r="S48" s="104"/>
      <c r="T48" s="104"/>
      <c r="U48" s="116" t="s">
        <v>22</v>
      </c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07" t="s">
        <v>30</v>
      </c>
      <c r="AJ48" s="107"/>
      <c r="AK48" s="107"/>
      <c r="AL48" s="27"/>
      <c r="AM48" s="30"/>
      <c r="AN48" s="30"/>
    </row>
    <row r="49" spans="1:40" ht="13.5" customHeight="1">
      <c r="A49" s="117" t="s">
        <v>372</v>
      </c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04"/>
      <c r="P49" s="104"/>
      <c r="Q49" s="104"/>
      <c r="R49" s="104"/>
      <c r="S49" s="104"/>
      <c r="T49" s="104"/>
      <c r="U49" s="117" t="s">
        <v>23</v>
      </c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5">
        <v>6</v>
      </c>
      <c r="AJ49" s="115"/>
      <c r="AK49" s="115"/>
      <c r="AL49" s="27"/>
      <c r="AM49" s="30"/>
      <c r="AN49" s="30"/>
    </row>
    <row r="50" spans="1:40" ht="13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L50" s="27"/>
      <c r="AM50" s="30"/>
      <c r="AN50" s="30"/>
    </row>
    <row r="51" spans="1:40" ht="13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L51" s="27"/>
      <c r="AM51" s="30"/>
      <c r="AN51" s="30"/>
    </row>
    <row r="52" spans="1:40" ht="13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M52" s="30"/>
      <c r="AN52" s="30"/>
    </row>
    <row r="53" spans="1:40" ht="13.5" customHeight="1">
      <c r="A53" s="16"/>
      <c r="B53" s="16"/>
      <c r="C53" s="19"/>
      <c r="D53" s="19"/>
      <c r="E53" s="20"/>
      <c r="F53" s="20"/>
      <c r="G53" s="20"/>
      <c r="H53" s="20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M53" s="30"/>
      <c r="AN53" s="30"/>
    </row>
    <row r="54" spans="1:40" ht="13.5" customHeight="1">
      <c r="A54" s="21"/>
      <c r="B54" s="21"/>
      <c r="C54" s="21"/>
      <c r="D54" s="21"/>
      <c r="E54" s="21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M54" s="30"/>
      <c r="AN54" s="30"/>
    </row>
    <row r="55" spans="1:40" ht="13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M55" s="30"/>
      <c r="AN55" s="30"/>
    </row>
    <row r="56" spans="1:40" ht="13.5" customHeight="1">
      <c r="A56" s="20"/>
      <c r="B56" s="20"/>
      <c r="C56" s="20"/>
      <c r="D56" s="20"/>
      <c r="E56" s="20"/>
      <c r="F56" s="20"/>
      <c r="G56" s="20"/>
      <c r="H56" s="20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M56" s="30"/>
      <c r="AN56" s="30"/>
    </row>
    <row r="57" spans="1:40" ht="13.5" customHeight="1">
      <c r="A57" s="20"/>
      <c r="B57" s="20"/>
      <c r="C57" s="20"/>
      <c r="D57" s="20"/>
      <c r="E57" s="20"/>
      <c r="F57" s="20"/>
      <c r="G57" s="20"/>
      <c r="H57" s="20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M57" s="30"/>
      <c r="AN57" s="30"/>
    </row>
    <row r="58" spans="1:40" ht="13.5" customHeight="1">
      <c r="A58" s="16"/>
      <c r="B58" s="16"/>
      <c r="C58" s="16"/>
      <c r="D58" s="16"/>
      <c r="E58" s="20"/>
      <c r="F58" s="20"/>
      <c r="G58" s="20"/>
      <c r="H58" s="20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M58" s="30"/>
      <c r="AN58" s="30"/>
    </row>
    <row r="59" spans="1:33" ht="13.5" customHeight="1">
      <c r="A59" s="16"/>
      <c r="B59" s="16"/>
      <c r="C59" s="16"/>
      <c r="D59" s="16"/>
      <c r="E59" s="20"/>
      <c r="F59" s="20"/>
      <c r="G59" s="20"/>
      <c r="H59" s="20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spans="1:33" ht="13.5" customHeight="1">
      <c r="A60" s="16"/>
      <c r="B60" s="16"/>
      <c r="C60" s="16"/>
      <c r="D60" s="16"/>
      <c r="E60" s="20"/>
      <c r="F60" s="20"/>
      <c r="G60" s="20"/>
      <c r="H60" s="20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spans="1:33" ht="13.5" customHeight="1">
      <c r="A61" s="16"/>
      <c r="B61" s="16"/>
      <c r="C61" s="16"/>
      <c r="D61" s="16"/>
      <c r="E61" s="20"/>
      <c r="F61" s="20"/>
      <c r="G61" s="20"/>
      <c r="H61" s="20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spans="1:33" ht="13.5" customHeight="1">
      <c r="A62" s="16"/>
      <c r="B62" s="16"/>
      <c r="C62" s="16"/>
      <c r="D62" s="16"/>
      <c r="E62" s="20"/>
      <c r="F62" s="20"/>
      <c r="G62" s="20"/>
      <c r="H62" s="20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spans="1:33" ht="13.5" customHeight="1">
      <c r="A63" s="16"/>
      <c r="B63" s="16"/>
      <c r="C63" s="16"/>
      <c r="D63" s="16"/>
      <c r="E63" s="20"/>
      <c r="F63" s="20"/>
      <c r="G63" s="20"/>
      <c r="H63" s="20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spans="1:33" ht="13.5" customHeight="1">
      <c r="A64" s="16"/>
      <c r="B64" s="16"/>
      <c r="C64" s="16"/>
      <c r="D64" s="16"/>
      <c r="E64" s="20"/>
      <c r="F64" s="20"/>
      <c r="G64" s="20"/>
      <c r="H64" s="20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spans="1:33" ht="13.5" customHeight="1">
      <c r="A65" s="16"/>
      <c r="B65" s="16"/>
      <c r="C65" s="16"/>
      <c r="D65" s="16"/>
      <c r="E65" s="20"/>
      <c r="F65" s="20"/>
      <c r="G65" s="20"/>
      <c r="H65" s="20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spans="1:33" ht="13.5" customHeight="1">
      <c r="A66" s="16"/>
      <c r="B66" s="16"/>
      <c r="C66" s="16"/>
      <c r="D66" s="16"/>
      <c r="E66" s="20"/>
      <c r="F66" s="20"/>
      <c r="G66" s="20"/>
      <c r="H66" s="20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spans="1:33" ht="13.5" customHeight="1">
      <c r="A67" s="16"/>
      <c r="B67" s="16"/>
      <c r="C67" s="16"/>
      <c r="D67" s="16"/>
      <c r="E67" s="20"/>
      <c r="F67" s="20"/>
      <c r="G67" s="20"/>
      <c r="H67" s="20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spans="1:33" ht="13.5" customHeight="1">
      <c r="A68" s="16"/>
      <c r="B68" s="16"/>
      <c r="C68" s="16"/>
      <c r="D68" s="16"/>
      <c r="E68" s="20"/>
      <c r="F68" s="20"/>
      <c r="G68" s="20"/>
      <c r="H68" s="20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spans="1:33" ht="13.5" customHeight="1">
      <c r="A69" s="16"/>
      <c r="B69" s="16"/>
      <c r="C69" s="16"/>
      <c r="D69" s="16"/>
      <c r="E69" s="20"/>
      <c r="F69" s="20"/>
      <c r="G69" s="20"/>
      <c r="H69" s="20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spans="1:33" ht="13.5" customHeight="1">
      <c r="A70" s="16"/>
      <c r="B70" s="16"/>
      <c r="C70" s="16"/>
      <c r="D70" s="16"/>
      <c r="E70" s="20"/>
      <c r="F70" s="20"/>
      <c r="G70" s="20"/>
      <c r="H70" s="20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spans="1:33" ht="1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spans="1:33" ht="1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spans="1:33" ht="1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spans="1:33" ht="1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spans="1:33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spans="1:33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spans="1:33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spans="1:33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spans="1:33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spans="1:33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spans="1:33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spans="1:33" ht="13.5" customHeight="1">
      <c r="A82" s="22"/>
      <c r="B82" s="22"/>
      <c r="C82" s="22"/>
      <c r="D82" s="22"/>
      <c r="E82" s="22"/>
      <c r="F82" s="22"/>
      <c r="G82" s="22"/>
      <c r="H82" s="22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spans="1:33" ht="13.5" customHeight="1">
      <c r="A83" s="23"/>
      <c r="B83" s="23"/>
      <c r="C83" s="23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spans="1:33" ht="13.5" customHeight="1">
      <c r="A84" s="23"/>
      <c r="B84" s="23"/>
      <c r="C84" s="23"/>
      <c r="D84" s="20"/>
      <c r="E84" s="20"/>
      <c r="F84" s="20"/>
      <c r="G84" s="20"/>
      <c r="H84" s="20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spans="1:33" ht="13.5" customHeight="1">
      <c r="A85" s="16"/>
      <c r="B85" s="16"/>
      <c r="C85" s="16"/>
      <c r="D85" s="16"/>
      <c r="E85" s="16"/>
      <c r="F85" s="16"/>
      <c r="G85" s="16"/>
      <c r="H85" s="20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spans="1:33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spans="1:33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spans="1:33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spans="1:33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</sheetData>
  <mergeCells count="90">
    <mergeCell ref="K10:AK10"/>
    <mergeCell ref="K11:AK12"/>
    <mergeCell ref="AA41:AK41"/>
    <mergeCell ref="B41:Z41"/>
    <mergeCell ref="B21:J21"/>
    <mergeCell ref="Y30:AC30"/>
    <mergeCell ref="Y31:AC31"/>
    <mergeCell ref="O29:S30"/>
    <mergeCell ref="T29:X30"/>
    <mergeCell ref="T28:X28"/>
    <mergeCell ref="AD28:AK28"/>
    <mergeCell ref="B28:N28"/>
    <mergeCell ref="B32:N32"/>
    <mergeCell ref="B22:AK25"/>
    <mergeCell ref="B26:AK27"/>
    <mergeCell ref="M13:AK13"/>
    <mergeCell ref="J5:Z5"/>
    <mergeCell ref="B7:AK8"/>
    <mergeCell ref="Z17:AE18"/>
    <mergeCell ref="Z19:AE20"/>
    <mergeCell ref="AF17:AK18"/>
    <mergeCell ref="AF19:AK20"/>
    <mergeCell ref="B9:J9"/>
    <mergeCell ref="B10:J13"/>
    <mergeCell ref="B14:K14"/>
    <mergeCell ref="B15:K16"/>
    <mergeCell ref="L15:T16"/>
    <mergeCell ref="K9:AK9"/>
    <mergeCell ref="L14:T14"/>
    <mergeCell ref="S17:Y18"/>
    <mergeCell ref="B17:R18"/>
    <mergeCell ref="K13:L13"/>
    <mergeCell ref="E1:G1"/>
    <mergeCell ref="AI4:AK4"/>
    <mergeCell ref="AF4:AH4"/>
    <mergeCell ref="AC4:AE4"/>
    <mergeCell ref="AA1:AB1"/>
    <mergeCell ref="AC1:AK1"/>
    <mergeCell ref="Z2:AB3"/>
    <mergeCell ref="Z4:AB4"/>
    <mergeCell ref="K2:Y3"/>
    <mergeCell ref="K4:Y4"/>
    <mergeCell ref="AC2:AE3"/>
    <mergeCell ref="AF2:AH3"/>
    <mergeCell ref="AI2:AK3"/>
    <mergeCell ref="AI49:AK49"/>
    <mergeCell ref="A43:N47"/>
    <mergeCell ref="U43:AH47"/>
    <mergeCell ref="U48:AH48"/>
    <mergeCell ref="U49:AH49"/>
    <mergeCell ref="O43:T49"/>
    <mergeCell ref="A48:N48"/>
    <mergeCell ref="A49:N49"/>
    <mergeCell ref="A42:AH42"/>
    <mergeCell ref="U15:Y16"/>
    <mergeCell ref="AI42:AK47"/>
    <mergeCell ref="AI48:AK48"/>
    <mergeCell ref="AD32:AK32"/>
    <mergeCell ref="B34:AK38"/>
    <mergeCell ref="B39:AK40"/>
    <mergeCell ref="B33:AK33"/>
    <mergeCell ref="T32:X32"/>
    <mergeCell ref="Y28:AC28"/>
    <mergeCell ref="Y29:AC29"/>
    <mergeCell ref="Y32:AC32"/>
    <mergeCell ref="K21:AK21"/>
    <mergeCell ref="O28:S28"/>
    <mergeCell ref="O32:S32"/>
    <mergeCell ref="S19:Y20"/>
    <mergeCell ref="U14:Y14"/>
    <mergeCell ref="Z14:AK14"/>
    <mergeCell ref="Z15:AK16"/>
    <mergeCell ref="B19:R20"/>
    <mergeCell ref="AD29:AK30"/>
    <mergeCell ref="B29:N31"/>
    <mergeCell ref="O31:S31"/>
    <mergeCell ref="T31:X31"/>
    <mergeCell ref="AD31:AK31"/>
    <mergeCell ref="AO13:AS13"/>
    <mergeCell ref="AU13:AW13"/>
    <mergeCell ref="AO15:AR15"/>
    <mergeCell ref="AU15:AW15"/>
    <mergeCell ref="AO5:AR5"/>
    <mergeCell ref="AU5:AW5"/>
    <mergeCell ref="AO7:AR7"/>
    <mergeCell ref="AU7:AW7"/>
    <mergeCell ref="AO9:AR9"/>
    <mergeCell ref="AU9:AW9"/>
    <mergeCell ref="AO11:AR11"/>
    <mergeCell ref="AU11:AW11"/>
  </mergeCells>
  <pageMargins left="0.75" right="0.35" top="1.65" bottom="0" header="0" footer="0.2"/>
  <pageSetup orientation="portrait" paperSize="9" scale="98" r:id="rId4"/>
  <headerFooter>
    <oddFooter xml:space="preserve">&amp;R&amp;"Arial Narrow,Regular"&amp;10
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Button 1">
              <controlPr defaultSize="0" print="0" autoLine="0" autoPict="0">
                <macro>[0]!Button1_Click</macro>
                <anchor moveWithCells="1" sizeWithCells="1">
                  <from>
                    <xdr:col>41</xdr:col>
                    <xdr:colOff>76200</xdr:colOff>
                    <xdr:row>1</xdr:row>
                    <xdr:rowOff>28575</xdr:rowOff>
                  </from>
                  <to>
                    <xdr:col>45</xdr:col>
                    <xdr:colOff>47625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8c8b43-31af-4119-a8ea-f2686af17757}">
  <sheetPr codeName="Sheet2"/>
  <dimension ref="A1:AW77"/>
  <sheetViews>
    <sheetView view="pageLayout" zoomScale="130" zoomScaleNormal="100" zoomScalePageLayoutView="130" workbookViewId="0" topLeftCell="A52">
      <selection pane="topLeft" activeCell="A57" sqref="A57"/>
    </sheetView>
  </sheetViews>
  <sheetFormatPr defaultColWidth="2.4242857142857144" defaultRowHeight="13.5" customHeight="1"/>
  <cols>
    <col min="1" max="16384" width="2.4285714285714284" style="37"/>
  </cols>
  <sheetData>
    <row r="1" spans="1:37" s="40" customFormat="1" ht="13.5" customHeight="1">
      <c r="A1" s="66" t="str">
        <f>Certificate!A1</f>
        <v>C</v>
      </c>
      <c r="B1" s="66" t="str">
        <f>Certificate!B1</f>
        <v>A</v>
      </c>
      <c r="C1" s="66" t="str">
        <f>Certificate!C1</f>
        <v>N</v>
      </c>
      <c r="D1" s="66" t="str">
        <f>Certificate!D1</f>
        <v>F</v>
      </c>
      <c r="E1" s="106">
        <f>Certificate!E1</f>
        <v>4567</v>
      </c>
      <c r="F1" s="106"/>
      <c r="G1" s="106"/>
      <c r="H1" s="106">
        <f>Certificate!H1</f>
        <v>0</v>
      </c>
      <c r="I1" s="106"/>
      <c r="J1" s="106"/>
      <c r="K1" s="13"/>
      <c r="L1" s="13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64" t="s">
        <v>27</v>
      </c>
      <c r="AB1" s="164"/>
      <c r="AC1" s="194" t="s">
        <v>105</v>
      </c>
      <c r="AD1" s="194"/>
      <c r="AE1" s="194"/>
      <c r="AF1" s="194"/>
      <c r="AG1" s="194"/>
      <c r="AH1" s="194"/>
      <c r="AI1" s="194"/>
      <c r="AJ1" s="194"/>
      <c r="AK1" s="194"/>
    </row>
    <row r="2" spans="1:37" ht="13.5" customHeight="1">
      <c r="A2" s="156" t="str">
        <f>Certificate!K10</f>
        <v>M/s XXX Ltd.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4" t="s">
        <v>44</v>
      </c>
      <c r="Q2" s="154"/>
      <c r="R2" s="154"/>
      <c r="S2" s="154"/>
      <c r="T2" s="154"/>
      <c r="U2" s="155" t="str">
        <f>Certificate!B19</f>
        <v>XXXX</v>
      </c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37" ht="13.5" customHeight="1">
      <c r="A3" s="193" t="s">
        <v>46</v>
      </c>
      <c r="B3" s="193"/>
      <c r="C3" s="193"/>
      <c r="D3" s="193" t="s">
        <v>121</v>
      </c>
      <c r="E3" s="193"/>
      <c r="F3" s="193"/>
      <c r="G3" s="193"/>
      <c r="H3" s="193"/>
      <c r="I3" s="193"/>
      <c r="J3" s="193"/>
      <c r="K3" s="193" t="s">
        <v>100</v>
      </c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 t="s">
        <v>103</v>
      </c>
      <c r="AC3" s="193"/>
      <c r="AD3" s="193"/>
      <c r="AE3" s="193"/>
      <c r="AF3" s="193"/>
      <c r="AG3" s="193"/>
      <c r="AH3" s="193"/>
      <c r="AI3" s="193"/>
      <c r="AJ3" s="193"/>
      <c r="AK3" s="193"/>
    </row>
    <row r="4" spans="1:37" ht="13.5" customHeight="1">
      <c r="A4" s="70">
        <v>93</v>
      </c>
      <c r="B4" s="70"/>
      <c r="C4" s="70"/>
      <c r="D4" s="70" t="s">
        <v>58</v>
      </c>
      <c r="E4" s="70"/>
      <c r="F4" s="70"/>
      <c r="G4" s="70"/>
      <c r="H4" s="70"/>
      <c r="I4" s="70"/>
      <c r="J4" s="70"/>
      <c r="K4" s="70" t="s">
        <v>56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186" t="s">
        <v>48</v>
      </c>
      <c r="AC4" s="186"/>
      <c r="AD4" s="186"/>
      <c r="AE4" s="186"/>
      <c r="AF4" s="186"/>
      <c r="AG4" s="186"/>
      <c r="AH4" s="186"/>
      <c r="AI4" s="186"/>
      <c r="AJ4" s="186"/>
      <c r="AK4" s="186"/>
    </row>
    <row r="5" spans="1:49" ht="13.5" customHeight="1">
      <c r="A5" s="70">
        <v>94</v>
      </c>
      <c r="B5" s="70"/>
      <c r="C5" s="70"/>
      <c r="D5" s="70" t="s">
        <v>47</v>
      </c>
      <c r="E5" s="70"/>
      <c r="F5" s="70"/>
      <c r="G5" s="70"/>
      <c r="H5" s="70"/>
      <c r="I5" s="70"/>
      <c r="J5" s="70"/>
      <c r="K5" s="70" t="s">
        <v>57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186" t="s">
        <v>48</v>
      </c>
      <c r="AC5" s="186"/>
      <c r="AD5" s="186"/>
      <c r="AE5" s="186"/>
      <c r="AF5" s="186"/>
      <c r="AG5" s="186"/>
      <c r="AH5" s="186"/>
      <c r="AI5" s="186"/>
      <c r="AJ5" s="186"/>
      <c r="AK5" s="186"/>
      <c r="AP5" s="104" t="s">
        <v>353</v>
      </c>
      <c r="AQ5" s="104"/>
      <c r="AR5" s="104"/>
      <c r="AS5" s="104"/>
      <c r="AT5" s="24"/>
      <c r="AU5" s="24"/>
      <c r="AV5" s="104">
        <v>0.76000000000000001</v>
      </c>
      <c r="AW5" s="104"/>
    </row>
    <row r="6" spans="1:48" ht="13.35" customHeight="1">
      <c r="A6" s="70">
        <v>95</v>
      </c>
      <c r="B6" s="70"/>
      <c r="C6" s="70"/>
      <c r="D6" s="70" t="s">
        <v>174</v>
      </c>
      <c r="E6" s="70"/>
      <c r="F6" s="70"/>
      <c r="G6" s="70"/>
      <c r="H6" s="70"/>
      <c r="I6" s="70"/>
      <c r="J6" s="70"/>
      <c r="K6" s="195" t="s">
        <v>122</v>
      </c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 t="s">
        <v>98</v>
      </c>
      <c r="W6" s="195"/>
      <c r="X6" s="195"/>
      <c r="Y6" s="195"/>
      <c r="Z6" s="195"/>
      <c r="AA6" s="195"/>
      <c r="AB6" s="70" t="s">
        <v>363</v>
      </c>
      <c r="AC6" s="70"/>
      <c r="AD6" s="70"/>
      <c r="AE6" s="70"/>
      <c r="AF6" s="70"/>
      <c r="AG6" s="70"/>
      <c r="AH6" s="70"/>
      <c r="AI6" s="70"/>
      <c r="AJ6" s="70"/>
      <c r="AK6" s="70"/>
      <c r="AP6" s="24"/>
      <c r="AQ6" s="24"/>
      <c r="AR6" s="24"/>
      <c r="AS6" s="24"/>
      <c r="AT6" s="24"/>
      <c r="AU6" s="24"/>
      <c r="AV6" s="24"/>
    </row>
    <row r="7" spans="1:49" ht="13.35" customHeight="1">
      <c r="A7" s="70"/>
      <c r="B7" s="70"/>
      <c r="C7" s="70"/>
      <c r="D7" s="70"/>
      <c r="E7" s="70"/>
      <c r="F7" s="70"/>
      <c r="G7" s="70"/>
      <c r="H7" s="70"/>
      <c r="I7" s="70"/>
      <c r="J7" s="70"/>
      <c r="K7" s="196" t="s">
        <v>54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P7" s="157" t="s">
        <v>354</v>
      </c>
      <c r="AQ7" s="157"/>
      <c r="AR7" s="157"/>
      <c r="AS7" s="157"/>
      <c r="AT7" s="58"/>
      <c r="AU7" s="58"/>
      <c r="AV7" s="167">
        <v>0.45000000000000001</v>
      </c>
      <c r="AW7" s="167"/>
    </row>
    <row r="8" spans="1:48" ht="11.25" customHeight="1">
      <c r="A8" s="70"/>
      <c r="B8" s="70"/>
      <c r="C8" s="70"/>
      <c r="D8" s="70"/>
      <c r="E8" s="70"/>
      <c r="F8" s="70"/>
      <c r="G8" s="70"/>
      <c r="H8" s="70"/>
      <c r="I8" s="70"/>
      <c r="J8" s="70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P8" s="58"/>
      <c r="AQ8" s="58"/>
      <c r="AR8" s="58"/>
      <c r="AS8" s="58"/>
      <c r="AT8" s="58"/>
      <c r="AU8" s="58"/>
      <c r="AV8" s="58"/>
    </row>
    <row r="9" spans="1:49" ht="13.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P9" s="82" t="s">
        <v>355</v>
      </c>
      <c r="AQ9" s="82"/>
      <c r="AR9" s="82"/>
      <c r="AS9" s="82"/>
      <c r="AT9" s="58"/>
      <c r="AU9" s="58"/>
      <c r="AV9" s="167">
        <v>1.4199999999999999</v>
      </c>
      <c r="AW9" s="167"/>
    </row>
    <row r="10" spans="1:48" ht="13.5" customHeight="1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P10" s="27"/>
      <c r="AQ10" s="27"/>
      <c r="AR10" s="26"/>
      <c r="AS10" s="26"/>
      <c r="AT10" s="26"/>
      <c r="AU10" s="26"/>
      <c r="AV10" s="26"/>
    </row>
    <row r="11" spans="1:49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196" t="s">
        <v>55</v>
      </c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P11" s="82" t="s">
        <v>356</v>
      </c>
      <c r="AQ11" s="82"/>
      <c r="AR11" s="82"/>
      <c r="AS11" s="82"/>
      <c r="AT11" s="26"/>
      <c r="AU11" s="26"/>
      <c r="AV11" s="145">
        <v>0</v>
      </c>
      <c r="AW11" s="147"/>
    </row>
    <row r="12" spans="1:48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P12" s="27"/>
      <c r="AQ12" s="27"/>
      <c r="AR12" s="27"/>
      <c r="AS12" s="27"/>
      <c r="AT12" s="27"/>
      <c r="AU12" s="27"/>
      <c r="AV12" s="27"/>
    </row>
    <row r="13" spans="1:49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P13" s="82" t="s">
        <v>357</v>
      </c>
      <c r="AQ13" s="82"/>
      <c r="AR13" s="82"/>
      <c r="AS13" s="82"/>
      <c r="AT13" s="82"/>
      <c r="AU13" s="27"/>
      <c r="AV13" s="158">
        <v>0.20000000000000001</v>
      </c>
      <c r="AW13" s="159"/>
    </row>
    <row r="14" spans="1:48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P14" s="27"/>
      <c r="AQ14" s="27"/>
      <c r="AR14" s="27"/>
      <c r="AS14" s="27"/>
      <c r="AT14" s="27"/>
      <c r="AU14" s="27"/>
      <c r="AV14" s="27"/>
    </row>
    <row r="15" spans="1:49" ht="13.5" customHeight="1">
      <c r="A15" s="70">
        <v>96</v>
      </c>
      <c r="B15" s="70"/>
      <c r="C15" s="70"/>
      <c r="D15" s="70" t="s">
        <v>362</v>
      </c>
      <c r="E15" s="70"/>
      <c r="F15" s="70"/>
      <c r="G15" s="70"/>
      <c r="H15" s="70"/>
      <c r="I15" s="70"/>
      <c r="J15" s="70"/>
      <c r="K15" s="70" t="s">
        <v>175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168" t="s">
        <v>211</v>
      </c>
      <c r="AC15" s="169"/>
      <c r="AD15" s="169"/>
      <c r="AE15" s="169"/>
      <c r="AF15" s="169"/>
      <c r="AG15" s="169"/>
      <c r="AH15" s="169"/>
      <c r="AI15" s="169"/>
      <c r="AJ15" s="169"/>
      <c r="AK15" s="170"/>
      <c r="AP15" s="157" t="s">
        <v>359</v>
      </c>
      <c r="AQ15" s="157"/>
      <c r="AR15" s="157"/>
      <c r="AS15" s="157"/>
      <c r="AT15" s="58"/>
      <c r="AU15" s="58"/>
      <c r="AV15" s="158">
        <v>0</v>
      </c>
      <c r="AW15" s="159"/>
    </row>
    <row r="16" spans="1:37" ht="13.35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171"/>
      <c r="AC16" s="172"/>
      <c r="AD16" s="172"/>
      <c r="AE16" s="172"/>
      <c r="AF16" s="172"/>
      <c r="AG16" s="172"/>
      <c r="AH16" s="172"/>
      <c r="AI16" s="172"/>
      <c r="AJ16" s="172"/>
      <c r="AK16" s="173"/>
    </row>
    <row r="17" spans="1:37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183" t="s">
        <v>212</v>
      </c>
      <c r="AC17" s="184"/>
      <c r="AD17" s="184"/>
      <c r="AE17" s="184"/>
      <c r="AF17" s="184"/>
      <c r="AG17" s="184"/>
      <c r="AH17" s="184"/>
      <c r="AI17" s="184"/>
      <c r="AJ17" s="184"/>
      <c r="AK17" s="185"/>
    </row>
    <row r="18" spans="1:37" ht="13.5" customHeight="1">
      <c r="A18" s="70" t="s">
        <v>176</v>
      </c>
      <c r="B18" s="70"/>
      <c r="C18" s="70"/>
      <c r="D18" s="183" t="s">
        <v>178</v>
      </c>
      <c r="E18" s="184"/>
      <c r="F18" s="184"/>
      <c r="G18" s="184"/>
      <c r="H18" s="184"/>
      <c r="I18" s="184"/>
      <c r="J18" s="185"/>
      <c r="K18" s="183" t="s">
        <v>177</v>
      </c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5"/>
      <c r="AB18" s="183" t="s">
        <v>213</v>
      </c>
      <c r="AC18" s="184"/>
      <c r="AD18" s="184"/>
      <c r="AE18" s="184"/>
      <c r="AF18" s="184"/>
      <c r="AG18" s="184"/>
      <c r="AH18" s="184"/>
      <c r="AI18" s="184"/>
      <c r="AJ18" s="184"/>
      <c r="AK18" s="185"/>
    </row>
    <row r="19" spans="1:37" ht="13.5" customHeight="1">
      <c r="A19" s="168">
        <v>98</v>
      </c>
      <c r="B19" s="169"/>
      <c r="C19" s="170"/>
      <c r="D19" s="187" t="s">
        <v>179</v>
      </c>
      <c r="E19" s="184"/>
      <c r="F19" s="184"/>
      <c r="G19" s="184"/>
      <c r="H19" s="184"/>
      <c r="I19" s="184"/>
      <c r="J19" s="185"/>
      <c r="K19" s="168" t="s">
        <v>181</v>
      </c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70"/>
      <c r="AB19" s="183" t="s">
        <v>214</v>
      </c>
      <c r="AC19" s="184"/>
      <c r="AD19" s="184"/>
      <c r="AE19" s="184"/>
      <c r="AF19" s="184"/>
      <c r="AG19" s="184"/>
      <c r="AH19" s="184"/>
      <c r="AI19" s="184"/>
      <c r="AJ19" s="184"/>
      <c r="AK19" s="185"/>
    </row>
    <row r="20" spans="1:37" ht="13.5" customHeight="1">
      <c r="A20" s="171"/>
      <c r="B20" s="172"/>
      <c r="C20" s="173"/>
      <c r="D20" s="183" t="s">
        <v>180</v>
      </c>
      <c r="E20" s="184"/>
      <c r="F20" s="184"/>
      <c r="G20" s="184"/>
      <c r="H20" s="184"/>
      <c r="I20" s="184"/>
      <c r="J20" s="185"/>
      <c r="K20" s="171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3"/>
      <c r="AB20" s="183" t="s">
        <v>215</v>
      </c>
      <c r="AC20" s="184"/>
      <c r="AD20" s="184"/>
      <c r="AE20" s="184"/>
      <c r="AF20" s="184"/>
      <c r="AG20" s="184"/>
      <c r="AH20" s="184"/>
      <c r="AI20" s="184"/>
      <c r="AJ20" s="184"/>
      <c r="AK20" s="185"/>
    </row>
    <row r="21" spans="1:37" ht="13.5" customHeight="1">
      <c r="A21" s="70">
        <v>99</v>
      </c>
      <c r="B21" s="70"/>
      <c r="C21" s="70"/>
      <c r="D21" s="186" t="s">
        <v>48</v>
      </c>
      <c r="E21" s="186"/>
      <c r="F21" s="186"/>
      <c r="G21" s="186"/>
      <c r="H21" s="186"/>
      <c r="I21" s="186"/>
      <c r="J21" s="186"/>
      <c r="K21" s="183" t="s">
        <v>182</v>
      </c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5"/>
      <c r="AB21" s="186" t="s">
        <v>48</v>
      </c>
      <c r="AC21" s="186"/>
      <c r="AD21" s="186"/>
      <c r="AE21" s="186"/>
      <c r="AF21" s="186"/>
      <c r="AG21" s="186"/>
      <c r="AH21" s="186"/>
      <c r="AI21" s="186"/>
      <c r="AJ21" s="186"/>
      <c r="AK21" s="186"/>
    </row>
    <row r="22" spans="1:37" ht="13.5" customHeight="1">
      <c r="A22" s="70">
        <v>100</v>
      </c>
      <c r="B22" s="70"/>
      <c r="C22" s="70"/>
      <c r="D22" s="183" t="s">
        <v>47</v>
      </c>
      <c r="E22" s="184"/>
      <c r="F22" s="184"/>
      <c r="G22" s="184"/>
      <c r="H22" s="184"/>
      <c r="I22" s="184"/>
      <c r="J22" s="185"/>
      <c r="K22" s="183" t="s">
        <v>183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5"/>
      <c r="AB22" s="183" t="s">
        <v>216</v>
      </c>
      <c r="AC22" s="184"/>
      <c r="AD22" s="184"/>
      <c r="AE22" s="184"/>
      <c r="AF22" s="184"/>
      <c r="AG22" s="184"/>
      <c r="AH22" s="184"/>
      <c r="AI22" s="184"/>
      <c r="AJ22" s="184"/>
      <c r="AK22" s="185"/>
    </row>
    <row r="23" spans="1:37" ht="13.5" customHeight="1">
      <c r="A23" s="70">
        <v>101</v>
      </c>
      <c r="B23" s="70"/>
      <c r="C23" s="70"/>
      <c r="D23" s="183" t="s">
        <v>49</v>
      </c>
      <c r="E23" s="184"/>
      <c r="F23" s="184"/>
      <c r="G23" s="184"/>
      <c r="H23" s="184"/>
      <c r="I23" s="184"/>
      <c r="J23" s="185"/>
      <c r="K23" s="183" t="s">
        <v>184</v>
      </c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5"/>
      <c r="AB23" s="183" t="s">
        <v>217</v>
      </c>
      <c r="AC23" s="184"/>
      <c r="AD23" s="184"/>
      <c r="AE23" s="184"/>
      <c r="AF23" s="184"/>
      <c r="AG23" s="184"/>
      <c r="AH23" s="184"/>
      <c r="AI23" s="184"/>
      <c r="AJ23" s="184"/>
      <c r="AK23" s="185"/>
    </row>
    <row r="24" spans="1:37" ht="13.5" customHeight="1">
      <c r="A24" s="70">
        <v>102</v>
      </c>
      <c r="B24" s="70"/>
      <c r="C24" s="70"/>
      <c r="D24" s="70" t="s">
        <v>186</v>
      </c>
      <c r="E24" s="70"/>
      <c r="F24" s="70"/>
      <c r="G24" s="70"/>
      <c r="H24" s="70"/>
      <c r="I24" s="70"/>
      <c r="J24" s="70"/>
      <c r="K24" s="70" t="s">
        <v>185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186" t="s">
        <v>48</v>
      </c>
      <c r="AC24" s="186"/>
      <c r="AD24" s="186"/>
      <c r="AE24" s="186"/>
      <c r="AF24" s="186"/>
      <c r="AG24" s="186"/>
      <c r="AH24" s="186"/>
      <c r="AI24" s="186"/>
      <c r="AJ24" s="186"/>
      <c r="AK24" s="186"/>
    </row>
    <row r="25" spans="1:37" ht="13.5" customHeight="1">
      <c r="A25" s="70">
        <v>103</v>
      </c>
      <c r="B25" s="70"/>
      <c r="C25" s="70"/>
      <c r="D25" s="186" t="s">
        <v>186</v>
      </c>
      <c r="E25" s="186"/>
      <c r="F25" s="186"/>
      <c r="G25" s="186"/>
      <c r="H25" s="186"/>
      <c r="I25" s="186"/>
      <c r="J25" s="186"/>
      <c r="K25" s="70" t="s">
        <v>59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186" t="s">
        <v>48</v>
      </c>
      <c r="AC25" s="186"/>
      <c r="AD25" s="186"/>
      <c r="AE25" s="186"/>
      <c r="AF25" s="186"/>
      <c r="AG25" s="186"/>
      <c r="AH25" s="186"/>
      <c r="AI25" s="186"/>
      <c r="AJ25" s="186"/>
      <c r="AK25" s="186"/>
    </row>
    <row r="26" spans="1:37" ht="13.5" customHeight="1">
      <c r="A26" s="70">
        <v>104</v>
      </c>
      <c r="B26" s="70"/>
      <c r="C26" s="70"/>
      <c r="D26" s="186" t="s">
        <v>101</v>
      </c>
      <c r="E26" s="186"/>
      <c r="F26" s="186"/>
      <c r="G26" s="186"/>
      <c r="H26" s="186"/>
      <c r="I26" s="186"/>
      <c r="J26" s="186"/>
      <c r="K26" s="70" t="s">
        <v>60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198" t="s">
        <v>163</v>
      </c>
      <c r="AC26" s="198"/>
      <c r="AD26" s="198"/>
      <c r="AE26" s="198"/>
      <c r="AF26" s="198"/>
      <c r="AG26" s="198"/>
      <c r="AH26" s="198"/>
      <c r="AI26" s="198"/>
      <c r="AJ26" s="198"/>
      <c r="AK26" s="198"/>
    </row>
    <row r="27" spans="1:37" ht="13.5" customHeight="1">
      <c r="A27" s="82">
        <v>105</v>
      </c>
      <c r="B27" s="82"/>
      <c r="C27" s="82"/>
      <c r="D27" s="186" t="s">
        <v>187</v>
      </c>
      <c r="E27" s="186"/>
      <c r="F27" s="186"/>
      <c r="G27" s="186"/>
      <c r="H27" s="186"/>
      <c r="I27" s="186"/>
      <c r="J27" s="186"/>
      <c r="K27" s="82" t="s">
        <v>61</v>
      </c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186" t="s">
        <v>48</v>
      </c>
      <c r="AC27" s="186"/>
      <c r="AD27" s="186"/>
      <c r="AE27" s="186"/>
      <c r="AF27" s="186"/>
      <c r="AG27" s="186"/>
      <c r="AH27" s="186"/>
      <c r="AI27" s="186"/>
      <c r="AJ27" s="186"/>
      <c r="AK27" s="186"/>
    </row>
    <row r="28" spans="1:37" ht="13.5" customHeight="1">
      <c r="A28" s="70">
        <v>106</v>
      </c>
      <c r="B28" s="70"/>
      <c r="C28" s="70"/>
      <c r="D28" s="186" t="s">
        <v>52</v>
      </c>
      <c r="E28" s="186"/>
      <c r="F28" s="186"/>
      <c r="G28" s="186"/>
      <c r="H28" s="186"/>
      <c r="I28" s="186"/>
      <c r="J28" s="186"/>
      <c r="K28" s="70" t="s">
        <v>62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186" t="s">
        <v>48</v>
      </c>
      <c r="AC28" s="186"/>
      <c r="AD28" s="186"/>
      <c r="AE28" s="186"/>
      <c r="AF28" s="186"/>
      <c r="AG28" s="186"/>
      <c r="AH28" s="186"/>
      <c r="AI28" s="186"/>
      <c r="AJ28" s="186"/>
      <c r="AK28" s="186"/>
    </row>
    <row r="29" spans="1:37" ht="13.5" customHeight="1">
      <c r="A29" s="168">
        <v>108</v>
      </c>
      <c r="B29" s="169"/>
      <c r="C29" s="170"/>
      <c r="D29" s="174" t="s">
        <v>192</v>
      </c>
      <c r="E29" s="175"/>
      <c r="F29" s="175"/>
      <c r="G29" s="175"/>
      <c r="H29" s="175"/>
      <c r="I29" s="175"/>
      <c r="J29" s="176"/>
      <c r="K29" s="168" t="s">
        <v>63</v>
      </c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70"/>
      <c r="AB29" s="174" t="s">
        <v>48</v>
      </c>
      <c r="AC29" s="175"/>
      <c r="AD29" s="175"/>
      <c r="AE29" s="175"/>
      <c r="AF29" s="175"/>
      <c r="AG29" s="175"/>
      <c r="AH29" s="175"/>
      <c r="AI29" s="175"/>
      <c r="AJ29" s="175"/>
      <c r="AK29" s="176"/>
    </row>
    <row r="30" spans="1:37" ht="13.5" customHeight="1">
      <c r="A30" s="171"/>
      <c r="B30" s="172"/>
      <c r="C30" s="173"/>
      <c r="D30" s="177"/>
      <c r="E30" s="178"/>
      <c r="F30" s="178"/>
      <c r="G30" s="178"/>
      <c r="H30" s="178"/>
      <c r="I30" s="178"/>
      <c r="J30" s="179"/>
      <c r="K30" s="171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3"/>
      <c r="AB30" s="177"/>
      <c r="AC30" s="178"/>
      <c r="AD30" s="178"/>
      <c r="AE30" s="178"/>
      <c r="AF30" s="178"/>
      <c r="AG30" s="178"/>
      <c r="AH30" s="178"/>
      <c r="AI30" s="178"/>
      <c r="AJ30" s="178"/>
      <c r="AK30" s="179"/>
    </row>
    <row r="31" spans="1:37" ht="13.5" customHeight="1">
      <c r="A31" s="70">
        <v>109</v>
      </c>
      <c r="B31" s="70"/>
      <c r="C31" s="70"/>
      <c r="D31" s="186" t="s">
        <v>48</v>
      </c>
      <c r="E31" s="186"/>
      <c r="F31" s="186"/>
      <c r="G31" s="186"/>
      <c r="H31" s="186"/>
      <c r="I31" s="186"/>
      <c r="J31" s="186"/>
      <c r="K31" s="70" t="s">
        <v>188</v>
      </c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186" t="s">
        <v>48</v>
      </c>
      <c r="AC31" s="186"/>
      <c r="AD31" s="186"/>
      <c r="AE31" s="186"/>
      <c r="AF31" s="186"/>
      <c r="AG31" s="186"/>
      <c r="AH31" s="186"/>
      <c r="AI31" s="186"/>
      <c r="AJ31" s="186"/>
      <c r="AK31" s="186"/>
    </row>
    <row r="32" spans="1:37" ht="13.5" customHeight="1">
      <c r="A32" s="70">
        <v>111</v>
      </c>
      <c r="B32" s="70"/>
      <c r="C32" s="70"/>
      <c r="D32" s="186" t="s">
        <v>48</v>
      </c>
      <c r="E32" s="186"/>
      <c r="F32" s="186"/>
      <c r="G32" s="186"/>
      <c r="H32" s="186"/>
      <c r="I32" s="186"/>
      <c r="J32" s="186"/>
      <c r="K32" s="70" t="s">
        <v>64</v>
      </c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186" t="s">
        <v>48</v>
      </c>
      <c r="AC32" s="186"/>
      <c r="AD32" s="186"/>
      <c r="AE32" s="186"/>
      <c r="AF32" s="186"/>
      <c r="AG32" s="186"/>
      <c r="AH32" s="186"/>
      <c r="AI32" s="186"/>
      <c r="AJ32" s="186"/>
      <c r="AK32" s="186"/>
    </row>
    <row r="33" spans="1:37" ht="13.5" customHeight="1">
      <c r="A33" s="70">
        <v>112</v>
      </c>
      <c r="B33" s="70"/>
      <c r="C33" s="70"/>
      <c r="D33" s="186" t="s">
        <v>48</v>
      </c>
      <c r="E33" s="186"/>
      <c r="F33" s="186"/>
      <c r="G33" s="186"/>
      <c r="H33" s="186"/>
      <c r="I33" s="186"/>
      <c r="J33" s="186"/>
      <c r="K33" s="70" t="s">
        <v>65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186" t="s">
        <v>48</v>
      </c>
      <c r="AC33" s="186"/>
      <c r="AD33" s="186"/>
      <c r="AE33" s="186"/>
      <c r="AF33" s="186"/>
      <c r="AG33" s="186"/>
      <c r="AH33" s="186"/>
      <c r="AI33" s="186"/>
      <c r="AJ33" s="186"/>
      <c r="AK33" s="186"/>
    </row>
    <row r="34" spans="1:37" ht="13.5" customHeight="1">
      <c r="A34" s="70">
        <v>113</v>
      </c>
      <c r="B34" s="70"/>
      <c r="C34" s="70"/>
      <c r="D34" s="186" t="s">
        <v>48</v>
      </c>
      <c r="E34" s="186"/>
      <c r="F34" s="186"/>
      <c r="G34" s="186"/>
      <c r="H34" s="186"/>
      <c r="I34" s="186"/>
      <c r="J34" s="186"/>
      <c r="K34" s="70" t="s">
        <v>66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186" t="s">
        <v>48</v>
      </c>
      <c r="AC34" s="186"/>
      <c r="AD34" s="186"/>
      <c r="AE34" s="186"/>
      <c r="AF34" s="186"/>
      <c r="AG34" s="186"/>
      <c r="AH34" s="186"/>
      <c r="AI34" s="186"/>
      <c r="AJ34" s="186"/>
      <c r="AK34" s="186"/>
    </row>
    <row r="35" spans="1:37" ht="13.5" customHeight="1">
      <c r="A35" s="168">
        <v>115</v>
      </c>
      <c r="B35" s="169"/>
      <c r="C35" s="170"/>
      <c r="D35" s="174" t="s">
        <v>351</v>
      </c>
      <c r="E35" s="175"/>
      <c r="F35" s="175"/>
      <c r="G35" s="175"/>
      <c r="H35" s="175"/>
      <c r="I35" s="175"/>
      <c r="J35" s="176"/>
      <c r="K35" s="168" t="s">
        <v>189</v>
      </c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70"/>
      <c r="AB35" s="174" t="s">
        <v>48</v>
      </c>
      <c r="AC35" s="175"/>
      <c r="AD35" s="175"/>
      <c r="AE35" s="175"/>
      <c r="AF35" s="175"/>
      <c r="AG35" s="175"/>
      <c r="AH35" s="175"/>
      <c r="AI35" s="175"/>
      <c r="AJ35" s="175"/>
      <c r="AK35" s="176"/>
    </row>
    <row r="36" spans="1:37" ht="13.5" customHeight="1">
      <c r="A36" s="171"/>
      <c r="B36" s="172"/>
      <c r="C36" s="173"/>
      <c r="D36" s="177"/>
      <c r="E36" s="178"/>
      <c r="F36" s="178"/>
      <c r="G36" s="178"/>
      <c r="H36" s="178"/>
      <c r="I36" s="178"/>
      <c r="J36" s="179"/>
      <c r="K36" s="171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3"/>
      <c r="AB36" s="177"/>
      <c r="AC36" s="178"/>
      <c r="AD36" s="178"/>
      <c r="AE36" s="178"/>
      <c r="AF36" s="178"/>
      <c r="AG36" s="178"/>
      <c r="AH36" s="178"/>
      <c r="AI36" s="178"/>
      <c r="AJ36" s="178"/>
      <c r="AK36" s="179"/>
    </row>
    <row r="37" spans="1:37" ht="13.5" customHeight="1">
      <c r="A37" s="70" t="s">
        <v>191</v>
      </c>
      <c r="B37" s="70"/>
      <c r="C37" s="70"/>
      <c r="D37" s="70" t="s">
        <v>49</v>
      </c>
      <c r="E37" s="70"/>
      <c r="F37" s="70"/>
      <c r="G37" s="70"/>
      <c r="H37" s="70"/>
      <c r="I37" s="70"/>
      <c r="J37" s="70"/>
      <c r="K37" s="70" t="s">
        <v>190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186" t="s">
        <v>48</v>
      </c>
      <c r="AC37" s="186"/>
      <c r="AD37" s="186"/>
      <c r="AE37" s="186"/>
      <c r="AF37" s="186"/>
      <c r="AG37" s="186"/>
      <c r="AH37" s="186"/>
      <c r="AI37" s="186"/>
      <c r="AJ37" s="186"/>
      <c r="AK37" s="186"/>
    </row>
    <row r="38" spans="1:37" ht="13.5" customHeight="1">
      <c r="A38" s="70">
        <v>117</v>
      </c>
      <c r="B38" s="70"/>
      <c r="C38" s="70"/>
      <c r="D38" s="70" t="s">
        <v>49</v>
      </c>
      <c r="E38" s="70"/>
      <c r="F38" s="70"/>
      <c r="G38" s="70"/>
      <c r="H38" s="70"/>
      <c r="I38" s="70"/>
      <c r="J38" s="70"/>
      <c r="K38" s="70" t="s">
        <v>67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190" t="s">
        <v>218</v>
      </c>
      <c r="AC38" s="182"/>
      <c r="AD38" s="182"/>
      <c r="AE38" s="182"/>
      <c r="AF38" s="182"/>
      <c r="AG38" s="182"/>
      <c r="AH38" s="182"/>
      <c r="AI38" s="182"/>
      <c r="AJ38" s="182"/>
      <c r="AK38" s="182"/>
    </row>
    <row r="39" spans="1:37" ht="13.5" customHeight="1">
      <c r="A39" s="180">
        <v>118</v>
      </c>
      <c r="B39" s="180"/>
      <c r="C39" s="180"/>
      <c r="D39" s="181" t="s">
        <v>52</v>
      </c>
      <c r="E39" s="180"/>
      <c r="F39" s="180"/>
      <c r="G39" s="180"/>
      <c r="H39" s="180"/>
      <c r="I39" s="180"/>
      <c r="J39" s="180"/>
      <c r="K39" s="180" t="s">
        <v>193</v>
      </c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2" t="s">
        <v>219</v>
      </c>
      <c r="AC39" s="182"/>
      <c r="AD39" s="182"/>
      <c r="AE39" s="182"/>
      <c r="AF39" s="182"/>
      <c r="AG39" s="182"/>
      <c r="AH39" s="182"/>
      <c r="AI39" s="182"/>
      <c r="AJ39" s="182"/>
      <c r="AK39" s="182"/>
    </row>
    <row r="40" spans="1:37" ht="13.5" customHeight="1">
      <c r="A40" s="68"/>
      <c r="B40" s="68"/>
      <c r="C40" s="68"/>
      <c r="D40" s="69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43"/>
      <c r="AC40" s="43"/>
      <c r="AD40" s="43"/>
      <c r="AE40" s="43"/>
      <c r="AF40" s="43"/>
      <c r="AG40" s="43"/>
      <c r="AH40" s="43"/>
      <c r="AI40" s="43"/>
      <c r="AJ40" s="43"/>
      <c r="AK40" s="43"/>
    </row>
    <row r="41" spans="1:37" ht="13.5" customHeight="1">
      <c r="A41" s="68"/>
      <c r="B41" s="68"/>
      <c r="C41" s="68"/>
      <c r="D41" s="69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43"/>
      <c r="AC41" s="43"/>
      <c r="AD41" s="43"/>
      <c r="AE41" s="43"/>
      <c r="AF41" s="43"/>
      <c r="AG41" s="43"/>
      <c r="AH41" s="43"/>
      <c r="AI41" s="43"/>
      <c r="AJ41" s="43"/>
      <c r="AK41" s="43"/>
    </row>
    <row r="42" spans="1:37" ht="13.5" customHeight="1">
      <c r="A42" s="68"/>
      <c r="B42" s="68"/>
      <c r="C42" s="68"/>
      <c r="D42" s="69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43"/>
      <c r="AC42" s="43"/>
      <c r="AD42" s="43"/>
      <c r="AE42" s="43"/>
      <c r="AF42" s="43"/>
      <c r="AG42" s="43"/>
      <c r="AH42" s="43"/>
      <c r="AI42" s="43"/>
      <c r="AJ42" s="43"/>
      <c r="AK42" s="43"/>
    </row>
    <row r="43" spans="1:37" ht="13.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7"/>
      <c r="AC43" s="43"/>
      <c r="AD43" s="43"/>
      <c r="AE43" s="43"/>
      <c r="AF43" s="43"/>
      <c r="AG43" s="43"/>
      <c r="AH43" s="43"/>
      <c r="AI43" s="43"/>
      <c r="AJ43" s="43"/>
      <c r="AK43" s="43"/>
    </row>
    <row r="44" spans="1:37" ht="13.5" customHeight="1">
      <c r="A44" s="192" t="s">
        <v>74</v>
      </c>
      <c r="B44" s="192"/>
      <c r="C44" s="192"/>
      <c r="D44" s="192"/>
      <c r="E44" s="192"/>
      <c r="F44" s="192"/>
      <c r="G44" s="19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</row>
    <row r="45" spans="1:37" ht="13.5" customHeight="1">
      <c r="A45" s="191" t="s">
        <v>73</v>
      </c>
      <c r="B45" s="191"/>
      <c r="C45" s="191"/>
      <c r="D45" s="191"/>
      <c r="E45" s="191"/>
      <c r="F45" s="191"/>
      <c r="G45" s="191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</row>
    <row r="46" spans="1:37" ht="13.5" customHeight="1">
      <c r="A46" s="191" t="s">
        <v>118</v>
      </c>
      <c r="B46" s="191"/>
      <c r="C46" s="191"/>
      <c r="D46" s="191"/>
      <c r="E46" s="191"/>
      <c r="F46" s="191"/>
      <c r="G46" s="191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</row>
    <row r="47" spans="1:37" ht="13.5" customHeight="1">
      <c r="A47" s="192" t="s">
        <v>99</v>
      </c>
      <c r="B47" s="192"/>
      <c r="C47" s="192"/>
      <c r="D47" s="192"/>
      <c r="E47" s="192"/>
      <c r="F47" s="192"/>
      <c r="G47" s="192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2" t="s">
        <v>119</v>
      </c>
      <c r="V47" s="192"/>
      <c r="W47" s="192"/>
      <c r="X47" s="192"/>
      <c r="Y47" s="192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9"/>
    </row>
    <row r="48" spans="1:37" ht="13.5" customHeight="1">
      <c r="A48" s="105" t="s">
        <v>115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6"/>
      <c r="AJ48" s="106"/>
      <c r="AK48" s="106"/>
    </row>
    <row r="49" spans="1:37" ht="13.5" customHeight="1">
      <c r="A49" s="160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2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</row>
    <row r="50" spans="1:37" ht="13.5" customHeight="1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</row>
    <row r="51" spans="1:37" ht="13.5" customHeight="1">
      <c r="A51" s="163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5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</row>
    <row r="52" spans="1:37" ht="13.5" customHeight="1">
      <c r="A52" s="163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5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</row>
    <row r="53" spans="1:37" ht="13.5" customHeight="1">
      <c r="A53" s="136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6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</row>
    <row r="54" spans="1:37" ht="13.5" customHeight="1">
      <c r="A54" s="160" t="s">
        <v>371</v>
      </c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2"/>
      <c r="N54" s="106"/>
      <c r="O54" s="106"/>
      <c r="P54" s="106"/>
      <c r="Q54" s="106"/>
      <c r="R54" s="106"/>
      <c r="S54" s="106"/>
      <c r="T54" s="106"/>
      <c r="U54" s="116" t="s">
        <v>22</v>
      </c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07" t="s">
        <v>75</v>
      </c>
      <c r="AJ54" s="107"/>
      <c r="AK54" s="107"/>
    </row>
    <row r="55" spans="1:37" ht="13.5" customHeight="1">
      <c r="A55" s="136" t="s">
        <v>372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66"/>
      <c r="N55" s="106"/>
      <c r="O55" s="106"/>
      <c r="P55" s="106"/>
      <c r="Q55" s="106"/>
      <c r="R55" s="106"/>
      <c r="S55" s="106"/>
      <c r="T55" s="106"/>
      <c r="U55" s="117" t="s">
        <v>23</v>
      </c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5">
        <v>6</v>
      </c>
      <c r="AJ55" s="115"/>
      <c r="AK55" s="115"/>
    </row>
    <row r="56" spans="1:33" ht="13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3" ht="13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3" ht="13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33" ht="13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1:33" ht="13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33" ht="13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1:33" ht="13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1:33" ht="13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1:33" ht="13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3" ht="13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3" ht="13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3" ht="13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3" ht="13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 ht="13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33" ht="13.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ht="13.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ht="13.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3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spans="1:33" ht="13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spans="1:33" ht="13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1:33" ht="13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1:33" ht="13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</sheetData>
  <mergeCells count="146">
    <mergeCell ref="U54:AH54"/>
    <mergeCell ref="AI54:AK54"/>
    <mergeCell ref="U55:AH55"/>
    <mergeCell ref="AI55:AK55"/>
    <mergeCell ref="H47:T47"/>
    <mergeCell ref="A44:G44"/>
    <mergeCell ref="U47:Y47"/>
    <mergeCell ref="D4:J4"/>
    <mergeCell ref="D5:J5"/>
    <mergeCell ref="D6:J14"/>
    <mergeCell ref="K38:AA38"/>
    <mergeCell ref="AB38:AK38"/>
    <mergeCell ref="D38:J38"/>
    <mergeCell ref="A48:AH48"/>
    <mergeCell ref="AI48:AK53"/>
    <mergeCell ref="U49:AH53"/>
    <mergeCell ref="D27:J27"/>
    <mergeCell ref="K24:AA24"/>
    <mergeCell ref="K25:AA25"/>
    <mergeCell ref="K26:AA26"/>
    <mergeCell ref="AB26:AK26"/>
    <mergeCell ref="K27:AA27"/>
    <mergeCell ref="AB27:AK27"/>
    <mergeCell ref="A18:C18"/>
    <mergeCell ref="K15:AA17"/>
    <mergeCell ref="AB3:AK3"/>
    <mergeCell ref="K4:AA4"/>
    <mergeCell ref="AB4:AK4"/>
    <mergeCell ref="K5:AA5"/>
    <mergeCell ref="AB5:AK5"/>
    <mergeCell ref="K6:U6"/>
    <mergeCell ref="V6:AA6"/>
    <mergeCell ref="M7:U10"/>
    <mergeCell ref="M11:U14"/>
    <mergeCell ref="V11:AA14"/>
    <mergeCell ref="V7:AA10"/>
    <mergeCell ref="AB6:AK14"/>
    <mergeCell ref="AB17:AK17"/>
    <mergeCell ref="K7:L10"/>
    <mergeCell ref="K11:L14"/>
    <mergeCell ref="E1:G1"/>
    <mergeCell ref="H1:J1"/>
    <mergeCell ref="A15:C17"/>
    <mergeCell ref="A4:C4"/>
    <mergeCell ref="D15:J17"/>
    <mergeCell ref="AB15:AK16"/>
    <mergeCell ref="A33:C33"/>
    <mergeCell ref="A25:C25"/>
    <mergeCell ref="A26:C26"/>
    <mergeCell ref="A32:C32"/>
    <mergeCell ref="A28:C28"/>
    <mergeCell ref="A3:C3"/>
    <mergeCell ref="A24:C24"/>
    <mergeCell ref="A6:C14"/>
    <mergeCell ref="A27:C27"/>
    <mergeCell ref="A5:C5"/>
    <mergeCell ref="AA1:AB1"/>
    <mergeCell ref="AC1:AK1"/>
    <mergeCell ref="D3:J3"/>
    <mergeCell ref="D28:J28"/>
    <mergeCell ref="D33:J33"/>
    <mergeCell ref="AB32:AK32"/>
    <mergeCell ref="K33:AA33"/>
    <mergeCell ref="K3:AA3"/>
    <mergeCell ref="K18:AA18"/>
    <mergeCell ref="D18:J18"/>
    <mergeCell ref="AB18:AK18"/>
    <mergeCell ref="D19:J19"/>
    <mergeCell ref="AB19:AK19"/>
    <mergeCell ref="D20:J20"/>
    <mergeCell ref="AB20:AK20"/>
    <mergeCell ref="Z47:AK47"/>
    <mergeCell ref="A34:C34"/>
    <mergeCell ref="A37:C37"/>
    <mergeCell ref="H46:AK46"/>
    <mergeCell ref="A45:G45"/>
    <mergeCell ref="A46:G46"/>
    <mergeCell ref="A47:G47"/>
    <mergeCell ref="H44:AK44"/>
    <mergeCell ref="H45:AK45"/>
    <mergeCell ref="A38:C38"/>
    <mergeCell ref="K37:AA37"/>
    <mergeCell ref="AB37:AK37"/>
    <mergeCell ref="D34:J34"/>
    <mergeCell ref="D37:J37"/>
    <mergeCell ref="AB33:AK33"/>
    <mergeCell ref="K34:AA34"/>
    <mergeCell ref="A21:C21"/>
    <mergeCell ref="D32:J32"/>
    <mergeCell ref="D21:J21"/>
    <mergeCell ref="K21:AA21"/>
    <mergeCell ref="AB21:AK21"/>
    <mergeCell ref="A22:C22"/>
    <mergeCell ref="D22:J22"/>
    <mergeCell ref="K22:AA22"/>
    <mergeCell ref="AB22:AK22"/>
    <mergeCell ref="A19:C20"/>
    <mergeCell ref="K19:AA20"/>
    <mergeCell ref="AB39:AK39"/>
    <mergeCell ref="A23:C23"/>
    <mergeCell ref="D23:J23"/>
    <mergeCell ref="K23:AA23"/>
    <mergeCell ref="AB23:AK23"/>
    <mergeCell ref="A31:C31"/>
    <mergeCell ref="D31:J31"/>
    <mergeCell ref="K31:AA31"/>
    <mergeCell ref="AB31:AK31"/>
    <mergeCell ref="A35:C36"/>
    <mergeCell ref="D35:J36"/>
    <mergeCell ref="K35:AA36"/>
    <mergeCell ref="AB35:AK36"/>
    <mergeCell ref="A29:C30"/>
    <mergeCell ref="D29:J30"/>
    <mergeCell ref="AB34:AK34"/>
    <mergeCell ref="K32:AA32"/>
    <mergeCell ref="AB24:AK24"/>
    <mergeCell ref="AB25:AK25"/>
    <mergeCell ref="D24:J24"/>
    <mergeCell ref="D25:J25"/>
    <mergeCell ref="D26:J26"/>
    <mergeCell ref="K28:AA28"/>
    <mergeCell ref="AB28:AK28"/>
    <mergeCell ref="P2:T2"/>
    <mergeCell ref="U2:AK2"/>
    <mergeCell ref="A2:O2"/>
    <mergeCell ref="AP15:AS15"/>
    <mergeCell ref="AV15:AW15"/>
    <mergeCell ref="N49:T55"/>
    <mergeCell ref="A49:M53"/>
    <mergeCell ref="A54:M54"/>
    <mergeCell ref="A55:M55"/>
    <mergeCell ref="AP5:AS5"/>
    <mergeCell ref="AV5:AW5"/>
    <mergeCell ref="AP7:AS7"/>
    <mergeCell ref="AV7:AW7"/>
    <mergeCell ref="AP9:AS9"/>
    <mergeCell ref="AV9:AW9"/>
    <mergeCell ref="AP11:AS11"/>
    <mergeCell ref="AV11:AW11"/>
    <mergeCell ref="AP13:AT13"/>
    <mergeCell ref="AV13:AW13"/>
    <mergeCell ref="K29:AA30"/>
    <mergeCell ref="AB29:AK30"/>
    <mergeCell ref="K39:AA39"/>
    <mergeCell ref="D39:J39"/>
    <mergeCell ref="A39:C39"/>
  </mergeCells>
  <pageMargins left="0.76" right="0.44999999999999996" top="1.42" bottom="0" header="0.2" footer="0"/>
  <pageSetup orientation="portrait" paperSize="9" scale="99" r:id="rId4"/>
  <headerFooter>
    <oddHeader xml:space="preserve">&amp;C 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1" name="Button 1">
              <controlPr defaultSize="0" print="0" autoLine="0" autoPict="0">
                <macro>[0]!AnnexureI_Button1_Click</macro>
                <anchor moveWithCells="1" sizeWithCells="1">
                  <from>
                    <xdr:col>43</xdr:col>
                    <xdr:colOff>9525</xdr:colOff>
                    <xdr:row>1</xdr:row>
                    <xdr:rowOff>0</xdr:rowOff>
                  </from>
                  <to>
                    <xdr:col>47</xdr:col>
                    <xdr:colOff>76200</xdr:colOff>
                    <xdr:row>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7eb8da-04e8-4a4d-82a7-19fb458404d4}">
  <sheetPr codeName="Sheet4"/>
  <dimension ref="A1:AW52"/>
  <sheetViews>
    <sheetView view="pageLayout" zoomScale="130" zoomScaleNormal="100" zoomScalePageLayoutView="130" workbookViewId="0" topLeftCell="A46">
      <selection pane="topLeft" activeCell="A1" sqref="A1:AK52"/>
    </sheetView>
  </sheetViews>
  <sheetFormatPr defaultColWidth="9.144285714285713" defaultRowHeight="15"/>
  <cols>
    <col min="1" max="37" width="2.4285714285714284" customWidth="1"/>
    <col min="38" max="73" width="2.5714285714285716" customWidth="1"/>
  </cols>
  <sheetData>
    <row r="1" spans="1:37" ht="13.5" customHeight="1">
      <c r="A1" s="66" t="str">
        <f>Certificate!A1</f>
        <v>C</v>
      </c>
      <c r="B1" s="66" t="str">
        <f>Certificate!B1</f>
        <v>A</v>
      </c>
      <c r="C1" s="66" t="str">
        <f>Certificate!C1</f>
        <v>N</v>
      </c>
      <c r="D1" s="66" t="str">
        <f>Certificate!D1</f>
        <v>F</v>
      </c>
      <c r="E1" s="106">
        <f>Certificate!E1</f>
        <v>4567</v>
      </c>
      <c r="F1" s="106"/>
      <c r="G1" s="106"/>
      <c r="H1" s="106">
        <f>Certificate!H1</f>
        <v>0</v>
      </c>
      <c r="I1" s="106"/>
      <c r="J1" s="106"/>
      <c r="K1" s="42"/>
      <c r="L1" s="42"/>
      <c r="M1" s="39"/>
      <c r="N1" s="39"/>
      <c r="O1" s="39"/>
      <c r="P1" s="274" t="s">
        <v>194</v>
      </c>
      <c r="Q1" s="274"/>
      <c r="R1" s="274"/>
      <c r="S1" s="274"/>
      <c r="T1" s="274"/>
      <c r="U1" s="39"/>
      <c r="V1" s="39"/>
      <c r="W1" s="39"/>
      <c r="X1" s="39"/>
      <c r="Y1" s="39"/>
      <c r="Z1" s="39"/>
      <c r="AA1" s="164" t="s">
        <v>27</v>
      </c>
      <c r="AB1" s="164"/>
      <c r="AC1" s="99" t="s">
        <v>105</v>
      </c>
      <c r="AD1" s="99"/>
      <c r="AE1" s="99"/>
      <c r="AF1" s="99"/>
      <c r="AG1" s="99"/>
      <c r="AH1" s="99"/>
      <c r="AI1" s="99"/>
      <c r="AJ1" s="99"/>
      <c r="AK1" s="99"/>
    </row>
    <row r="2" spans="1:37" ht="13.5" customHeight="1">
      <c r="A2" s="273" t="str">
        <f>Certificate!K10</f>
        <v>M/s XXX Ltd.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5"/>
      <c r="Q2" s="275"/>
      <c r="R2" s="275"/>
      <c r="S2" s="275"/>
      <c r="T2" s="275"/>
      <c r="U2" s="155" t="str">
        <f>Certificate!B19</f>
        <v>XXXX</v>
      </c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37" ht="13.5" customHeight="1">
      <c r="A3" s="193" t="s">
        <v>46</v>
      </c>
      <c r="B3" s="193"/>
      <c r="C3" s="193"/>
      <c r="D3" s="193" t="s">
        <v>121</v>
      </c>
      <c r="E3" s="193"/>
      <c r="F3" s="193"/>
      <c r="G3" s="193"/>
      <c r="H3" s="193"/>
      <c r="I3" s="193"/>
      <c r="J3" s="193"/>
      <c r="K3" s="193" t="s">
        <v>100</v>
      </c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 t="s">
        <v>103</v>
      </c>
      <c r="AC3" s="193"/>
      <c r="AD3" s="193"/>
      <c r="AE3" s="193"/>
      <c r="AF3" s="193"/>
      <c r="AG3" s="193"/>
      <c r="AH3" s="193"/>
      <c r="AI3" s="193"/>
      <c r="AJ3" s="193"/>
      <c r="AK3" s="193"/>
    </row>
    <row r="4" spans="1:37" ht="13.5" customHeight="1">
      <c r="A4" s="70">
        <v>119</v>
      </c>
      <c r="B4" s="70"/>
      <c r="C4" s="70"/>
      <c r="D4" s="70" t="s">
        <v>49</v>
      </c>
      <c r="E4" s="70"/>
      <c r="F4" s="70"/>
      <c r="G4" s="70"/>
      <c r="H4" s="70"/>
      <c r="I4" s="70"/>
      <c r="J4" s="70"/>
      <c r="K4" s="70" t="s">
        <v>68</v>
      </c>
      <c r="L4" s="70"/>
      <c r="M4" s="70"/>
      <c r="N4" s="197" t="s">
        <v>50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70" t="s">
        <v>210</v>
      </c>
      <c r="AC4" s="70"/>
      <c r="AD4" s="70"/>
      <c r="AE4" s="70"/>
      <c r="AF4" s="70"/>
      <c r="AG4" s="70"/>
      <c r="AH4" s="70"/>
      <c r="AI4" s="70"/>
      <c r="AJ4" s="70"/>
      <c r="AK4" s="70"/>
    </row>
    <row r="5" spans="1:49" ht="13.5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260" t="s">
        <v>125</v>
      </c>
      <c r="O5" s="260"/>
      <c r="P5" s="260"/>
      <c r="Q5" s="260"/>
      <c r="R5" s="190" t="s">
        <v>195</v>
      </c>
      <c r="S5" s="190"/>
      <c r="T5" s="190"/>
      <c r="U5" s="190"/>
      <c r="V5" s="190"/>
      <c r="W5" s="190"/>
      <c r="X5" s="190"/>
      <c r="Y5" s="190"/>
      <c r="Z5" s="190"/>
      <c r="AA5" s="190"/>
      <c r="AB5" s="70"/>
      <c r="AC5" s="70"/>
      <c r="AD5" s="70"/>
      <c r="AE5" s="70"/>
      <c r="AF5" s="70"/>
      <c r="AG5" s="70"/>
      <c r="AH5" s="70"/>
      <c r="AI5" s="70"/>
      <c r="AJ5" s="70"/>
      <c r="AK5" s="70"/>
      <c r="AP5" s="104" t="s">
        <v>353</v>
      </c>
      <c r="AQ5" s="104"/>
      <c r="AR5" s="104"/>
      <c r="AS5" s="104"/>
      <c r="AT5" s="24"/>
      <c r="AU5" s="24"/>
      <c r="AV5" s="104">
        <v>0.76000000000000001</v>
      </c>
      <c r="AW5" s="104"/>
    </row>
    <row r="6" spans="1:49" ht="13.5" customHeight="1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95" t="s">
        <v>126</v>
      </c>
      <c r="O6" s="195"/>
      <c r="P6" s="195"/>
      <c r="Q6" s="195"/>
      <c r="R6" s="82" t="s">
        <v>82</v>
      </c>
      <c r="S6" s="82"/>
      <c r="T6" s="82"/>
      <c r="U6" s="82"/>
      <c r="V6" s="82"/>
      <c r="W6" s="82"/>
      <c r="X6" s="82"/>
      <c r="Y6" s="82"/>
      <c r="Z6" s="82"/>
      <c r="AA6" s="82"/>
      <c r="AB6" s="70"/>
      <c r="AC6" s="70"/>
      <c r="AD6" s="70"/>
      <c r="AE6" s="70"/>
      <c r="AF6" s="70"/>
      <c r="AG6" s="70"/>
      <c r="AH6" s="70"/>
      <c r="AI6" s="70"/>
      <c r="AJ6" s="70"/>
      <c r="AK6" s="70"/>
      <c r="AP6" s="24"/>
      <c r="AQ6" s="24"/>
      <c r="AR6" s="24"/>
      <c r="AS6" s="24"/>
      <c r="AT6" s="24"/>
      <c r="AU6" s="24"/>
      <c r="AV6" s="24"/>
      <c r="AW6" s="37"/>
    </row>
    <row r="7" spans="1:49" ht="13.5" customHeight="1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97" t="s">
        <v>69</v>
      </c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263" t="s">
        <v>220</v>
      </c>
      <c r="AC7" s="263"/>
      <c r="AD7" s="263"/>
      <c r="AE7" s="263"/>
      <c r="AF7" s="263"/>
      <c r="AG7" s="263"/>
      <c r="AH7" s="263"/>
      <c r="AI7" s="263"/>
      <c r="AJ7" s="263"/>
      <c r="AK7" s="263"/>
      <c r="AP7" s="157" t="s">
        <v>354</v>
      </c>
      <c r="AQ7" s="157"/>
      <c r="AR7" s="157"/>
      <c r="AS7" s="157"/>
      <c r="AT7" s="58"/>
      <c r="AU7" s="58"/>
      <c r="AV7" s="167">
        <v>0.45000000000000001</v>
      </c>
      <c r="AW7" s="167"/>
    </row>
    <row r="8" spans="1:49" ht="13.5" customHeight="1">
      <c r="A8" s="168">
        <v>120</v>
      </c>
      <c r="B8" s="169"/>
      <c r="C8" s="170"/>
      <c r="D8" s="264" t="s">
        <v>52</v>
      </c>
      <c r="E8" s="265"/>
      <c r="F8" s="265"/>
      <c r="G8" s="265"/>
      <c r="H8" s="265"/>
      <c r="I8" s="265"/>
      <c r="J8" s="266"/>
      <c r="K8" s="183" t="s">
        <v>51</v>
      </c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5"/>
      <c r="AB8" s="263" t="s">
        <v>48</v>
      </c>
      <c r="AC8" s="263"/>
      <c r="AD8" s="263"/>
      <c r="AE8" s="263"/>
      <c r="AF8" s="263"/>
      <c r="AG8" s="263"/>
      <c r="AH8" s="263"/>
      <c r="AI8" s="263"/>
      <c r="AJ8" s="263"/>
      <c r="AK8" s="263"/>
      <c r="AP8" s="58"/>
      <c r="AQ8" s="58"/>
      <c r="AR8" s="58"/>
      <c r="AS8" s="58"/>
      <c r="AT8" s="58"/>
      <c r="AU8" s="58"/>
      <c r="AV8" s="58"/>
      <c r="AW8" s="37"/>
    </row>
    <row r="9" spans="1:49" ht="13.5" customHeight="1">
      <c r="A9" s="227"/>
      <c r="B9" s="228"/>
      <c r="C9" s="229"/>
      <c r="D9" s="174" t="s">
        <v>72</v>
      </c>
      <c r="E9" s="175"/>
      <c r="F9" s="175"/>
      <c r="G9" s="175"/>
      <c r="H9" s="175"/>
      <c r="I9" s="175"/>
      <c r="J9" s="176"/>
      <c r="K9" s="168" t="s">
        <v>123</v>
      </c>
      <c r="L9" s="169"/>
      <c r="M9" s="169"/>
      <c r="N9" s="170"/>
      <c r="O9" s="267" t="s">
        <v>125</v>
      </c>
      <c r="P9" s="268"/>
      <c r="Q9" s="268"/>
      <c r="R9" s="269"/>
      <c r="S9" s="270" t="s">
        <v>196</v>
      </c>
      <c r="T9" s="271"/>
      <c r="U9" s="271"/>
      <c r="V9" s="271"/>
      <c r="W9" s="271"/>
      <c r="X9" s="271"/>
      <c r="Y9" s="271"/>
      <c r="Z9" s="271"/>
      <c r="AA9" s="272"/>
      <c r="AB9" s="227" t="s">
        <v>221</v>
      </c>
      <c r="AC9" s="228"/>
      <c r="AD9" s="228"/>
      <c r="AE9" s="228"/>
      <c r="AF9" s="228"/>
      <c r="AG9" s="228"/>
      <c r="AH9" s="228"/>
      <c r="AI9" s="228"/>
      <c r="AJ9" s="228"/>
      <c r="AK9" s="229"/>
      <c r="AP9" s="82" t="s">
        <v>355</v>
      </c>
      <c r="AQ9" s="82"/>
      <c r="AR9" s="82"/>
      <c r="AS9" s="82"/>
      <c r="AT9" s="58"/>
      <c r="AU9" s="58"/>
      <c r="AV9" s="167">
        <v>1.4199999999999999</v>
      </c>
      <c r="AW9" s="167"/>
    </row>
    <row r="10" spans="1:49" ht="13.5" customHeight="1">
      <c r="A10" s="171"/>
      <c r="B10" s="172"/>
      <c r="C10" s="173"/>
      <c r="D10" s="177"/>
      <c r="E10" s="178"/>
      <c r="F10" s="178"/>
      <c r="G10" s="178"/>
      <c r="H10" s="178"/>
      <c r="I10" s="178"/>
      <c r="J10" s="179"/>
      <c r="K10" s="171"/>
      <c r="L10" s="172"/>
      <c r="M10" s="172"/>
      <c r="N10" s="173"/>
      <c r="O10" s="267" t="s">
        <v>126</v>
      </c>
      <c r="P10" s="268"/>
      <c r="Q10" s="268"/>
      <c r="R10" s="269"/>
      <c r="S10" s="158" t="s">
        <v>82</v>
      </c>
      <c r="T10" s="280"/>
      <c r="U10" s="280"/>
      <c r="V10" s="280"/>
      <c r="W10" s="280"/>
      <c r="X10" s="280"/>
      <c r="Y10" s="280"/>
      <c r="Z10" s="280"/>
      <c r="AA10" s="159"/>
      <c r="AB10" s="171"/>
      <c r="AC10" s="172"/>
      <c r="AD10" s="172"/>
      <c r="AE10" s="172"/>
      <c r="AF10" s="172"/>
      <c r="AG10" s="172"/>
      <c r="AH10" s="172"/>
      <c r="AI10" s="172"/>
      <c r="AJ10" s="172"/>
      <c r="AK10" s="173"/>
      <c r="AP10" s="27"/>
      <c r="AQ10" s="27"/>
      <c r="AR10" s="26"/>
      <c r="AS10" s="26"/>
      <c r="AT10" s="26"/>
      <c r="AU10" s="26"/>
      <c r="AV10" s="26"/>
      <c r="AW10" s="37"/>
    </row>
    <row r="11" spans="1:49" ht="13.5" customHeight="1">
      <c r="A11" s="168">
        <v>122</v>
      </c>
      <c r="B11" s="169"/>
      <c r="C11" s="170"/>
      <c r="D11" s="168" t="s">
        <v>49</v>
      </c>
      <c r="E11" s="169"/>
      <c r="F11" s="169"/>
      <c r="G11" s="169"/>
      <c r="H11" s="169"/>
      <c r="I11" s="169"/>
      <c r="J11" s="170"/>
      <c r="K11" s="168" t="s">
        <v>117</v>
      </c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70"/>
      <c r="AB11" s="89" t="s">
        <v>164</v>
      </c>
      <c r="AC11" s="90"/>
      <c r="AD11" s="90"/>
      <c r="AE11" s="90"/>
      <c r="AF11" s="90"/>
      <c r="AG11" s="90"/>
      <c r="AH11" s="90"/>
      <c r="AI11" s="90"/>
      <c r="AJ11" s="90"/>
      <c r="AK11" s="91"/>
      <c r="AP11" s="82" t="s">
        <v>356</v>
      </c>
      <c r="AQ11" s="82"/>
      <c r="AR11" s="82"/>
      <c r="AS11" s="82"/>
      <c r="AT11" s="26"/>
      <c r="AU11" s="26"/>
      <c r="AV11" s="145">
        <v>0</v>
      </c>
      <c r="AW11" s="147"/>
    </row>
    <row r="12" spans="1:49" ht="13.5" customHeight="1">
      <c r="A12" s="171"/>
      <c r="B12" s="172"/>
      <c r="C12" s="173"/>
      <c r="D12" s="171"/>
      <c r="E12" s="172"/>
      <c r="F12" s="172"/>
      <c r="G12" s="172"/>
      <c r="H12" s="172"/>
      <c r="I12" s="172"/>
      <c r="J12" s="173"/>
      <c r="K12" s="171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3"/>
      <c r="AB12" s="92"/>
      <c r="AC12" s="93"/>
      <c r="AD12" s="93"/>
      <c r="AE12" s="93"/>
      <c r="AF12" s="93"/>
      <c r="AG12" s="93"/>
      <c r="AH12" s="93"/>
      <c r="AI12" s="93"/>
      <c r="AJ12" s="93"/>
      <c r="AK12" s="94"/>
      <c r="AP12" s="27"/>
      <c r="AQ12" s="27"/>
      <c r="AR12" s="27"/>
      <c r="AS12" s="27"/>
      <c r="AT12" s="27"/>
      <c r="AU12" s="27"/>
      <c r="AV12" s="27"/>
      <c r="AW12" s="37"/>
    </row>
    <row r="13" spans="1:49" ht="13.5" customHeight="1">
      <c r="A13" s="183">
        <v>124</v>
      </c>
      <c r="B13" s="184"/>
      <c r="C13" s="185"/>
      <c r="D13" s="187" t="s">
        <v>120</v>
      </c>
      <c r="E13" s="278"/>
      <c r="F13" s="278"/>
      <c r="G13" s="278"/>
      <c r="H13" s="278"/>
      <c r="I13" s="278"/>
      <c r="J13" s="279"/>
      <c r="K13" s="183" t="s">
        <v>70</v>
      </c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5"/>
      <c r="AB13" s="187" t="s">
        <v>48</v>
      </c>
      <c r="AC13" s="278"/>
      <c r="AD13" s="278"/>
      <c r="AE13" s="278"/>
      <c r="AF13" s="278"/>
      <c r="AG13" s="278"/>
      <c r="AH13" s="278"/>
      <c r="AI13" s="278"/>
      <c r="AJ13" s="278"/>
      <c r="AK13" s="279"/>
      <c r="AP13" s="82" t="s">
        <v>357</v>
      </c>
      <c r="AQ13" s="82"/>
      <c r="AR13" s="82"/>
      <c r="AS13" s="82"/>
      <c r="AT13" s="82"/>
      <c r="AU13" s="27"/>
      <c r="AV13" s="158">
        <v>0.20000000000000001</v>
      </c>
      <c r="AW13" s="159"/>
    </row>
    <row r="14" spans="1:49" ht="13.5" customHeight="1">
      <c r="A14" s="70">
        <v>125</v>
      </c>
      <c r="B14" s="70"/>
      <c r="C14" s="70"/>
      <c r="D14" s="186" t="s">
        <v>198</v>
      </c>
      <c r="E14" s="186"/>
      <c r="F14" s="186"/>
      <c r="G14" s="186"/>
      <c r="H14" s="186"/>
      <c r="I14" s="186"/>
      <c r="J14" s="186"/>
      <c r="K14" s="70" t="s">
        <v>197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186" t="s">
        <v>222</v>
      </c>
      <c r="AC14" s="186"/>
      <c r="AD14" s="186"/>
      <c r="AE14" s="186"/>
      <c r="AF14" s="186"/>
      <c r="AG14" s="186"/>
      <c r="AH14" s="186"/>
      <c r="AI14" s="186"/>
      <c r="AJ14" s="186"/>
      <c r="AK14" s="186"/>
      <c r="AP14" s="27"/>
      <c r="AQ14" s="27"/>
      <c r="AR14" s="27"/>
      <c r="AS14" s="27"/>
      <c r="AT14" s="27"/>
      <c r="AU14" s="27"/>
      <c r="AV14" s="27"/>
      <c r="AW14" s="37"/>
    </row>
    <row r="15" spans="1:49" ht="13.5" customHeight="1">
      <c r="A15" s="70"/>
      <c r="B15" s="70"/>
      <c r="C15" s="70"/>
      <c r="D15" s="186"/>
      <c r="E15" s="186"/>
      <c r="F15" s="186"/>
      <c r="G15" s="186"/>
      <c r="H15" s="186"/>
      <c r="I15" s="186"/>
      <c r="J15" s="186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P15" s="157" t="s">
        <v>359</v>
      </c>
      <c r="AQ15" s="157"/>
      <c r="AR15" s="157"/>
      <c r="AS15" s="157"/>
      <c r="AT15" s="58"/>
      <c r="AU15" s="58"/>
      <c r="AV15" s="158">
        <v>0</v>
      </c>
      <c r="AW15" s="159"/>
    </row>
    <row r="16" spans="1:37" ht="13.5" customHeight="1">
      <c r="A16" s="70"/>
      <c r="B16" s="70"/>
      <c r="C16" s="70"/>
      <c r="D16" s="181" t="s">
        <v>200</v>
      </c>
      <c r="E16" s="181"/>
      <c r="F16" s="181"/>
      <c r="G16" s="181"/>
      <c r="H16" s="181"/>
      <c r="I16" s="181"/>
      <c r="J16" s="181"/>
      <c r="K16" s="70" t="s">
        <v>199</v>
      </c>
      <c r="L16" s="70"/>
      <c r="M16" s="70"/>
      <c r="N16" s="70"/>
      <c r="O16" s="70"/>
      <c r="P16" s="70"/>
      <c r="Q16" s="70"/>
      <c r="R16" s="70" t="s">
        <v>71</v>
      </c>
      <c r="S16" s="70"/>
      <c r="T16" s="70"/>
      <c r="U16" s="70"/>
      <c r="V16" s="70"/>
      <c r="W16" s="70"/>
      <c r="X16" s="70"/>
      <c r="Y16" s="70"/>
      <c r="Z16" s="70"/>
      <c r="AA16" s="70"/>
      <c r="AB16" s="182" t="s">
        <v>202</v>
      </c>
      <c r="AC16" s="182"/>
      <c r="AD16" s="182"/>
      <c r="AE16" s="182"/>
      <c r="AF16" s="182"/>
      <c r="AG16" s="182"/>
      <c r="AH16" s="182"/>
      <c r="AI16" s="182"/>
      <c r="AJ16" s="182"/>
      <c r="AK16" s="182"/>
    </row>
    <row r="17" spans="1:37" ht="13.5" customHeight="1">
      <c r="A17" s="70"/>
      <c r="B17" s="70"/>
      <c r="C17" s="70"/>
      <c r="D17" s="181"/>
      <c r="E17" s="181"/>
      <c r="F17" s="181"/>
      <c r="G17" s="181"/>
      <c r="H17" s="181"/>
      <c r="I17" s="181"/>
      <c r="J17" s="181"/>
      <c r="K17" s="70"/>
      <c r="L17" s="70"/>
      <c r="M17" s="70"/>
      <c r="N17" s="70"/>
      <c r="O17" s="70"/>
      <c r="P17" s="70"/>
      <c r="Q17" s="70"/>
      <c r="R17" s="70" t="s">
        <v>50</v>
      </c>
      <c r="S17" s="70"/>
      <c r="T17" s="70"/>
      <c r="U17" s="70"/>
      <c r="V17" s="70"/>
      <c r="W17" s="70"/>
      <c r="X17" s="70"/>
      <c r="Y17" s="70"/>
      <c r="Z17" s="70"/>
      <c r="AA17" s="70"/>
      <c r="AB17" s="182" t="s">
        <v>201</v>
      </c>
      <c r="AC17" s="182"/>
      <c r="AD17" s="182"/>
      <c r="AE17" s="182"/>
      <c r="AF17" s="182"/>
      <c r="AG17" s="182"/>
      <c r="AH17" s="182"/>
      <c r="AI17" s="182"/>
      <c r="AJ17" s="182"/>
      <c r="AK17" s="182"/>
    </row>
    <row r="18" spans="1:37" ht="13.5" customHeight="1">
      <c r="A18" s="70"/>
      <c r="B18" s="70"/>
      <c r="C18" s="70"/>
      <c r="D18" s="262" t="s">
        <v>204</v>
      </c>
      <c r="E18" s="262"/>
      <c r="F18" s="262"/>
      <c r="G18" s="262"/>
      <c r="H18" s="262"/>
      <c r="I18" s="262"/>
      <c r="J18" s="262"/>
      <c r="K18" s="70" t="s">
        <v>203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 t="s">
        <v>205</v>
      </c>
      <c r="AC18" s="70"/>
      <c r="AD18" s="70"/>
      <c r="AE18" s="70"/>
      <c r="AF18" s="70"/>
      <c r="AG18" s="70"/>
      <c r="AH18" s="70"/>
      <c r="AI18" s="70"/>
      <c r="AJ18" s="70"/>
      <c r="AK18" s="70"/>
    </row>
    <row r="19" spans="1:37" ht="13.5" customHeight="1">
      <c r="A19" s="70"/>
      <c r="B19" s="70"/>
      <c r="C19" s="70"/>
      <c r="D19" s="262" t="s">
        <v>207</v>
      </c>
      <c r="E19" s="262"/>
      <c r="F19" s="262"/>
      <c r="G19" s="262"/>
      <c r="H19" s="262"/>
      <c r="I19" s="262"/>
      <c r="J19" s="262"/>
      <c r="K19" s="70" t="s">
        <v>206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208</v>
      </c>
      <c r="AC19" s="70"/>
      <c r="AD19" s="70"/>
      <c r="AE19" s="70"/>
      <c r="AF19" s="70"/>
      <c r="AG19" s="70"/>
      <c r="AH19" s="70"/>
      <c r="AI19" s="70"/>
      <c r="AJ19" s="70"/>
      <c r="AK19" s="70"/>
    </row>
    <row r="20" spans="1:37" ht="13.5" customHeight="1">
      <c r="A20" s="70">
        <v>138</v>
      </c>
      <c r="B20" s="70"/>
      <c r="C20" s="70"/>
      <c r="D20" s="262" t="s">
        <v>364</v>
      </c>
      <c r="E20" s="262"/>
      <c r="F20" s="262"/>
      <c r="G20" s="262"/>
      <c r="H20" s="262"/>
      <c r="I20" s="262"/>
      <c r="J20" s="262"/>
      <c r="K20" s="70" t="s">
        <v>366</v>
      </c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83" t="s">
        <v>368</v>
      </c>
      <c r="AC20" s="184"/>
      <c r="AD20" s="184"/>
      <c r="AE20" s="184"/>
      <c r="AF20" s="184"/>
      <c r="AG20" s="184"/>
      <c r="AH20" s="184"/>
      <c r="AI20" s="184"/>
      <c r="AJ20" s="184"/>
      <c r="AK20" s="185"/>
    </row>
    <row r="21" spans="1:37" ht="13.5" customHeight="1">
      <c r="A21" s="70"/>
      <c r="B21" s="70"/>
      <c r="C21" s="70"/>
      <c r="D21" s="276" t="s">
        <v>365</v>
      </c>
      <c r="E21" s="276"/>
      <c r="F21" s="276"/>
      <c r="G21" s="276"/>
      <c r="H21" s="276"/>
      <c r="I21" s="276"/>
      <c r="J21" s="276"/>
      <c r="K21" s="180" t="s">
        <v>367</v>
      </c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277" t="s">
        <v>48</v>
      </c>
      <c r="AC21" s="225"/>
      <c r="AD21" s="225"/>
      <c r="AE21" s="225"/>
      <c r="AF21" s="225"/>
      <c r="AG21" s="225"/>
      <c r="AH21" s="225"/>
      <c r="AI21" s="225"/>
      <c r="AJ21" s="225"/>
      <c r="AK21" s="226"/>
    </row>
    <row r="22" spans="1:37" ht="13.5" customHeight="1">
      <c r="A22" s="49"/>
      <c r="B22" s="49"/>
      <c r="C22" s="49"/>
      <c r="D22" s="50"/>
      <c r="E22" s="50"/>
      <c r="F22" s="50"/>
      <c r="G22" s="50"/>
      <c r="H22" s="50"/>
      <c r="I22" s="50"/>
      <c r="J22" s="50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</row>
    <row r="23" spans="1:37" ht="13.5" customHeight="1">
      <c r="A23" s="261" t="s">
        <v>83</v>
      </c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</row>
    <row r="24" spans="1:37" ht="13.5" customHeight="1">
      <c r="A24" s="239" t="s">
        <v>150</v>
      </c>
      <c r="B24" s="240"/>
      <c r="C24" s="240"/>
      <c r="D24" s="241"/>
      <c r="E24" s="130" t="s">
        <v>102</v>
      </c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130" t="s">
        <v>103</v>
      </c>
      <c r="W24" s="131"/>
      <c r="X24" s="131"/>
      <c r="Y24" s="131"/>
      <c r="Z24" s="131"/>
      <c r="AA24" s="131"/>
      <c r="AB24" s="131"/>
      <c r="AC24" s="131"/>
      <c r="AD24" s="132"/>
      <c r="AE24" s="251" t="s">
        <v>209</v>
      </c>
      <c r="AF24" s="252"/>
      <c r="AG24" s="252"/>
      <c r="AH24" s="252"/>
      <c r="AI24" s="252"/>
      <c r="AJ24" s="252"/>
      <c r="AK24" s="253"/>
    </row>
    <row r="25" spans="1:37" ht="13.5" customHeight="1">
      <c r="A25" s="242"/>
      <c r="B25" s="243"/>
      <c r="C25" s="243"/>
      <c r="D25" s="244"/>
      <c r="E25" s="248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50"/>
      <c r="V25" s="248"/>
      <c r="W25" s="249"/>
      <c r="X25" s="249"/>
      <c r="Y25" s="249"/>
      <c r="Z25" s="249"/>
      <c r="AA25" s="249"/>
      <c r="AB25" s="249"/>
      <c r="AC25" s="249"/>
      <c r="AD25" s="250"/>
      <c r="AE25" s="254"/>
      <c r="AF25" s="255"/>
      <c r="AG25" s="255"/>
      <c r="AH25" s="255"/>
      <c r="AI25" s="255"/>
      <c r="AJ25" s="255"/>
      <c r="AK25" s="256"/>
    </row>
    <row r="26" spans="1:37" ht="13.5" customHeight="1">
      <c r="A26" s="245"/>
      <c r="B26" s="246"/>
      <c r="C26" s="246"/>
      <c r="D26" s="247"/>
      <c r="E26" s="133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5"/>
      <c r="V26" s="133"/>
      <c r="W26" s="134"/>
      <c r="X26" s="134"/>
      <c r="Y26" s="134"/>
      <c r="Z26" s="134"/>
      <c r="AA26" s="134"/>
      <c r="AB26" s="134"/>
      <c r="AC26" s="134"/>
      <c r="AD26" s="135"/>
      <c r="AE26" s="257"/>
      <c r="AF26" s="258"/>
      <c r="AG26" s="258"/>
      <c r="AH26" s="258"/>
      <c r="AI26" s="258"/>
      <c r="AJ26" s="258"/>
      <c r="AK26" s="259"/>
    </row>
    <row r="27" spans="1:37" ht="13.5" customHeight="1">
      <c r="A27" s="180" t="s">
        <v>140</v>
      </c>
      <c r="B27" s="180"/>
      <c r="C27" s="180"/>
      <c r="D27" s="180"/>
      <c r="E27" s="70" t="s">
        <v>86</v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198" t="s">
        <v>156</v>
      </c>
      <c r="W27" s="238"/>
      <c r="X27" s="238"/>
      <c r="Y27" s="238"/>
      <c r="Z27" s="238"/>
      <c r="AA27" s="238"/>
      <c r="AB27" s="238"/>
      <c r="AC27" s="238"/>
      <c r="AD27" s="238"/>
      <c r="AE27" s="200" t="s">
        <v>133</v>
      </c>
      <c r="AF27" s="201"/>
      <c r="AG27" s="201"/>
      <c r="AH27" s="201"/>
      <c r="AI27" s="201"/>
      <c r="AJ27" s="201"/>
      <c r="AK27" s="201"/>
    </row>
    <row r="28" spans="1:37" ht="13.5" customHeight="1">
      <c r="A28" s="70">
        <v>2</v>
      </c>
      <c r="B28" s="70"/>
      <c r="C28" s="70"/>
      <c r="D28" s="70"/>
      <c r="E28" s="70" t="s">
        <v>84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196" t="s">
        <v>157</v>
      </c>
      <c r="W28" s="196"/>
      <c r="X28" s="196"/>
      <c r="Y28" s="196"/>
      <c r="Z28" s="196"/>
      <c r="AA28" s="196"/>
      <c r="AB28" s="196"/>
      <c r="AC28" s="196"/>
      <c r="AD28" s="196"/>
      <c r="AE28" s="236" t="s">
        <v>142</v>
      </c>
      <c r="AF28" s="237"/>
      <c r="AG28" s="237"/>
      <c r="AH28" s="237"/>
      <c r="AI28" s="237"/>
      <c r="AJ28" s="237"/>
      <c r="AK28" s="237"/>
    </row>
    <row r="29" spans="1:37" ht="13.5" customHeight="1">
      <c r="A29" s="70">
        <v>3</v>
      </c>
      <c r="B29" s="70"/>
      <c r="C29" s="70"/>
      <c r="D29" s="70"/>
      <c r="E29" s="70" t="s">
        <v>85</v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82" t="s">
        <v>158</v>
      </c>
      <c r="W29" s="82"/>
      <c r="X29" s="82"/>
      <c r="Y29" s="82"/>
      <c r="Z29" s="82"/>
      <c r="AA29" s="82"/>
      <c r="AB29" s="82"/>
      <c r="AC29" s="82"/>
      <c r="AD29" s="82"/>
      <c r="AE29" s="236" t="s">
        <v>142</v>
      </c>
      <c r="AF29" s="237"/>
      <c r="AG29" s="237"/>
      <c r="AH29" s="237"/>
      <c r="AI29" s="237"/>
      <c r="AJ29" s="237"/>
      <c r="AK29" s="237"/>
    </row>
    <row r="30" spans="1:37" ht="13.5" customHeight="1">
      <c r="A30" s="202" t="s">
        <v>225</v>
      </c>
      <c r="B30" s="203"/>
      <c r="C30" s="203"/>
      <c r="D30" s="204"/>
      <c r="E30" s="202" t="s">
        <v>223</v>
      </c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4"/>
      <c r="V30" s="208" t="s">
        <v>224</v>
      </c>
      <c r="W30" s="209"/>
      <c r="X30" s="209"/>
      <c r="Y30" s="209"/>
      <c r="Z30" s="209"/>
      <c r="AA30" s="209"/>
      <c r="AB30" s="209"/>
      <c r="AC30" s="209"/>
      <c r="AD30" s="210"/>
      <c r="AE30" s="214" t="s">
        <v>142</v>
      </c>
      <c r="AF30" s="215"/>
      <c r="AG30" s="215"/>
      <c r="AH30" s="215"/>
      <c r="AI30" s="215"/>
      <c r="AJ30" s="215"/>
      <c r="AK30" s="216"/>
    </row>
    <row r="31" spans="1:37" ht="13.5" customHeight="1">
      <c r="A31" s="205"/>
      <c r="B31" s="206"/>
      <c r="C31" s="206"/>
      <c r="D31" s="207"/>
      <c r="E31" s="205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7"/>
      <c r="V31" s="211"/>
      <c r="W31" s="212"/>
      <c r="X31" s="212"/>
      <c r="Y31" s="212"/>
      <c r="Z31" s="212"/>
      <c r="AA31" s="212"/>
      <c r="AB31" s="212"/>
      <c r="AC31" s="212"/>
      <c r="AD31" s="213"/>
      <c r="AE31" s="217"/>
      <c r="AF31" s="218"/>
      <c r="AG31" s="218"/>
      <c r="AH31" s="218"/>
      <c r="AI31" s="218"/>
      <c r="AJ31" s="218"/>
      <c r="AK31" s="219"/>
    </row>
    <row r="32" spans="1:37" ht="13.5" customHeight="1">
      <c r="A32" s="168" t="s">
        <v>227</v>
      </c>
      <c r="B32" s="169"/>
      <c r="C32" s="169"/>
      <c r="D32" s="170"/>
      <c r="E32" s="168" t="s">
        <v>226</v>
      </c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70"/>
      <c r="V32" s="83" t="s">
        <v>228</v>
      </c>
      <c r="W32" s="84"/>
      <c r="X32" s="84"/>
      <c r="Y32" s="84"/>
      <c r="Z32" s="84"/>
      <c r="AA32" s="84"/>
      <c r="AB32" s="84"/>
      <c r="AC32" s="84"/>
      <c r="AD32" s="85"/>
      <c r="AE32" s="214" t="s">
        <v>142</v>
      </c>
      <c r="AF32" s="215"/>
      <c r="AG32" s="215"/>
      <c r="AH32" s="215"/>
      <c r="AI32" s="215"/>
      <c r="AJ32" s="215"/>
      <c r="AK32" s="216"/>
    </row>
    <row r="33" spans="1:37" ht="13.5" customHeight="1">
      <c r="A33" s="171"/>
      <c r="B33" s="172"/>
      <c r="C33" s="172"/>
      <c r="D33" s="173"/>
      <c r="E33" s="171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3"/>
      <c r="V33" s="86"/>
      <c r="W33" s="87"/>
      <c r="X33" s="87"/>
      <c r="Y33" s="87"/>
      <c r="Z33" s="87"/>
      <c r="AA33" s="87"/>
      <c r="AB33" s="87"/>
      <c r="AC33" s="87"/>
      <c r="AD33" s="88"/>
      <c r="AE33" s="217"/>
      <c r="AF33" s="218"/>
      <c r="AG33" s="218"/>
      <c r="AH33" s="218"/>
      <c r="AI33" s="218"/>
      <c r="AJ33" s="218"/>
      <c r="AK33" s="219"/>
    </row>
    <row r="34" spans="1:37" ht="13.5" customHeight="1">
      <c r="A34" s="202" t="s">
        <v>231</v>
      </c>
      <c r="B34" s="203"/>
      <c r="C34" s="203"/>
      <c r="D34" s="204"/>
      <c r="E34" s="202" t="s">
        <v>229</v>
      </c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4"/>
      <c r="V34" s="208" t="s">
        <v>230</v>
      </c>
      <c r="W34" s="209"/>
      <c r="X34" s="209"/>
      <c r="Y34" s="209"/>
      <c r="Z34" s="209"/>
      <c r="AA34" s="209"/>
      <c r="AB34" s="209"/>
      <c r="AC34" s="209"/>
      <c r="AD34" s="210"/>
      <c r="AE34" s="214" t="s">
        <v>142</v>
      </c>
      <c r="AF34" s="215"/>
      <c r="AG34" s="215"/>
      <c r="AH34" s="215"/>
      <c r="AI34" s="215"/>
      <c r="AJ34" s="215"/>
      <c r="AK34" s="216"/>
    </row>
    <row r="35" spans="1:37" ht="13.5" customHeight="1">
      <c r="A35" s="205"/>
      <c r="B35" s="206"/>
      <c r="C35" s="206"/>
      <c r="D35" s="207"/>
      <c r="E35" s="205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7"/>
      <c r="V35" s="211"/>
      <c r="W35" s="212"/>
      <c r="X35" s="212"/>
      <c r="Y35" s="212"/>
      <c r="Z35" s="212"/>
      <c r="AA35" s="212"/>
      <c r="AB35" s="212"/>
      <c r="AC35" s="212"/>
      <c r="AD35" s="213"/>
      <c r="AE35" s="217"/>
      <c r="AF35" s="218"/>
      <c r="AG35" s="218"/>
      <c r="AH35" s="218"/>
      <c r="AI35" s="218"/>
      <c r="AJ35" s="218"/>
      <c r="AK35" s="219"/>
    </row>
    <row r="36" spans="1:37" ht="13.5" customHeight="1">
      <c r="A36" s="168" t="s">
        <v>232</v>
      </c>
      <c r="B36" s="169"/>
      <c r="C36" s="169"/>
      <c r="D36" s="170"/>
      <c r="E36" s="168" t="s">
        <v>233</v>
      </c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70"/>
      <c r="V36" s="83" t="s">
        <v>235</v>
      </c>
      <c r="W36" s="84"/>
      <c r="X36" s="84"/>
      <c r="Y36" s="84"/>
      <c r="Z36" s="84"/>
      <c r="AA36" s="84"/>
      <c r="AB36" s="84"/>
      <c r="AC36" s="84"/>
      <c r="AD36" s="85"/>
      <c r="AE36" s="214" t="s">
        <v>142</v>
      </c>
      <c r="AF36" s="215"/>
      <c r="AG36" s="215"/>
      <c r="AH36" s="215"/>
      <c r="AI36" s="215"/>
      <c r="AJ36" s="215"/>
      <c r="AK36" s="216"/>
    </row>
    <row r="37" spans="1:37" ht="13.5" customHeight="1">
      <c r="A37" s="227"/>
      <c r="B37" s="228"/>
      <c r="C37" s="228"/>
      <c r="D37" s="229"/>
      <c r="E37" s="227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9"/>
      <c r="V37" s="230"/>
      <c r="W37" s="231"/>
      <c r="X37" s="231"/>
      <c r="Y37" s="231"/>
      <c r="Z37" s="231"/>
      <c r="AA37" s="231"/>
      <c r="AB37" s="231"/>
      <c r="AC37" s="231"/>
      <c r="AD37" s="232"/>
      <c r="AE37" s="233"/>
      <c r="AF37" s="234"/>
      <c r="AG37" s="234"/>
      <c r="AH37" s="234"/>
      <c r="AI37" s="234"/>
      <c r="AJ37" s="234"/>
      <c r="AK37" s="235"/>
    </row>
    <row r="38" spans="1:37" ht="13.5" customHeight="1">
      <c r="A38" s="171"/>
      <c r="B38" s="172"/>
      <c r="C38" s="172"/>
      <c r="D38" s="173"/>
      <c r="E38" s="171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3"/>
      <c r="V38" s="86"/>
      <c r="W38" s="87"/>
      <c r="X38" s="87"/>
      <c r="Y38" s="87"/>
      <c r="Z38" s="87"/>
      <c r="AA38" s="87"/>
      <c r="AB38" s="87"/>
      <c r="AC38" s="87"/>
      <c r="AD38" s="88"/>
      <c r="AE38" s="217"/>
      <c r="AF38" s="218"/>
      <c r="AG38" s="218"/>
      <c r="AH38" s="218"/>
      <c r="AI38" s="218"/>
      <c r="AJ38" s="218"/>
      <c r="AK38" s="219"/>
    </row>
    <row r="39" spans="1:37" ht="13.5" customHeight="1">
      <c r="A39" s="180" t="s">
        <v>234</v>
      </c>
      <c r="B39" s="180"/>
      <c r="C39" s="180"/>
      <c r="D39" s="180"/>
      <c r="E39" s="183" t="s">
        <v>236</v>
      </c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5"/>
      <c r="V39" s="224" t="s">
        <v>237</v>
      </c>
      <c r="W39" s="225"/>
      <c r="X39" s="225"/>
      <c r="Y39" s="225"/>
      <c r="Z39" s="225"/>
      <c r="AA39" s="225"/>
      <c r="AB39" s="225"/>
      <c r="AC39" s="225"/>
      <c r="AD39" s="226"/>
      <c r="AE39" s="200" t="s">
        <v>133</v>
      </c>
      <c r="AF39" s="201"/>
      <c r="AG39" s="201"/>
      <c r="AH39" s="201"/>
      <c r="AI39" s="201"/>
      <c r="AJ39" s="201"/>
      <c r="AK39" s="201"/>
    </row>
    <row r="40" spans="1:37" ht="13.5" customHeight="1">
      <c r="A40" s="70" t="s">
        <v>238</v>
      </c>
      <c r="B40" s="70"/>
      <c r="C40" s="70"/>
      <c r="D40" s="70"/>
      <c r="E40" s="70" t="s">
        <v>239</v>
      </c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220" t="s">
        <v>240</v>
      </c>
      <c r="W40" s="220"/>
      <c r="X40" s="220"/>
      <c r="Y40" s="220"/>
      <c r="Z40" s="220"/>
      <c r="AA40" s="220"/>
      <c r="AB40" s="220"/>
      <c r="AC40" s="220"/>
      <c r="AD40" s="220"/>
      <c r="AE40" s="200" t="s">
        <v>133</v>
      </c>
      <c r="AF40" s="201"/>
      <c r="AG40" s="201"/>
      <c r="AH40" s="201"/>
      <c r="AI40" s="201"/>
      <c r="AJ40" s="201"/>
      <c r="AK40" s="201"/>
    </row>
    <row r="41" spans="1:37" ht="12.95" customHeight="1">
      <c r="A41" s="221">
        <v>11</v>
      </c>
      <c r="B41" s="222"/>
      <c r="C41" s="222"/>
      <c r="D41" s="223"/>
      <c r="E41" s="221" t="s">
        <v>241</v>
      </c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3"/>
      <c r="V41" s="224" t="s">
        <v>242</v>
      </c>
      <c r="W41" s="225"/>
      <c r="X41" s="225"/>
      <c r="Y41" s="225"/>
      <c r="Z41" s="225"/>
      <c r="AA41" s="225"/>
      <c r="AB41" s="225"/>
      <c r="AC41" s="225"/>
      <c r="AD41" s="226"/>
      <c r="AE41" s="200" t="s">
        <v>133</v>
      </c>
      <c r="AF41" s="201"/>
      <c r="AG41" s="201"/>
      <c r="AH41" s="201"/>
      <c r="AI41" s="201"/>
      <c r="AJ41" s="201"/>
      <c r="AK41" s="201"/>
    </row>
    <row r="42" spans="1:37" ht="13.5" customHeight="1">
      <c r="A42" s="199">
        <v>13</v>
      </c>
      <c r="B42" s="199"/>
      <c r="C42" s="199"/>
      <c r="D42" s="199"/>
      <c r="E42" s="199" t="s">
        <v>243</v>
      </c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 t="s">
        <v>244</v>
      </c>
      <c r="W42" s="199"/>
      <c r="X42" s="199"/>
      <c r="Y42" s="199"/>
      <c r="Z42" s="199"/>
      <c r="AA42" s="199"/>
      <c r="AB42" s="199"/>
      <c r="AC42" s="199"/>
      <c r="AD42" s="199"/>
      <c r="AE42" s="200" t="s">
        <v>133</v>
      </c>
      <c r="AF42" s="201"/>
      <c r="AG42" s="201"/>
      <c r="AH42" s="201"/>
      <c r="AI42" s="201"/>
      <c r="AJ42" s="201"/>
      <c r="AK42" s="201"/>
    </row>
    <row r="43" spans="1:37" ht="12.95" customHeight="1">
      <c r="A43" s="199">
        <v>14</v>
      </c>
      <c r="B43" s="199"/>
      <c r="C43" s="199"/>
      <c r="D43" s="199"/>
      <c r="E43" s="199" t="s">
        <v>245</v>
      </c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 t="s">
        <v>246</v>
      </c>
      <c r="W43" s="199"/>
      <c r="X43" s="199"/>
      <c r="Y43" s="199"/>
      <c r="Z43" s="199"/>
      <c r="AA43" s="199"/>
      <c r="AB43" s="199"/>
      <c r="AC43" s="199"/>
      <c r="AD43" s="199"/>
      <c r="AE43" s="200" t="s">
        <v>133</v>
      </c>
      <c r="AF43" s="201"/>
      <c r="AG43" s="201"/>
      <c r="AH43" s="201"/>
      <c r="AI43" s="201"/>
      <c r="AJ43" s="201"/>
      <c r="AK43" s="201"/>
    </row>
    <row r="44" spans="1:37" ht="12.9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30"/>
      <c r="AC44" s="30"/>
      <c r="AD44" s="30"/>
      <c r="AE44" s="30"/>
      <c r="AF44" s="30"/>
      <c r="AG44" s="30"/>
      <c r="AH44" s="30"/>
      <c r="AI44" s="30"/>
      <c r="AJ44" s="30"/>
      <c r="AK44" s="30"/>
    </row>
    <row r="45" spans="1:37" ht="13.5" customHeight="1">
      <c r="A45" s="105" t="s">
        <v>115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6"/>
      <c r="AJ45" s="106"/>
      <c r="AK45" s="106"/>
    </row>
    <row r="46" spans="1:37" ht="13.5" customHeight="1">
      <c r="A46" s="160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2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</row>
    <row r="47" spans="1:37" ht="13.5" customHeight="1">
      <c r="A47" s="163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5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</row>
    <row r="48" spans="1:37" ht="13.5" customHeight="1">
      <c r="A48" s="163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5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</row>
    <row r="49" spans="1:37" ht="13.5" customHeight="1">
      <c r="A49" s="163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5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</row>
    <row r="50" spans="1:37" ht="13.5" customHeight="1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06"/>
      <c r="O50" s="106"/>
      <c r="P50" s="106"/>
      <c r="Q50" s="106"/>
      <c r="R50" s="106"/>
      <c r="S50" s="106"/>
      <c r="T50" s="10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</row>
    <row r="51" spans="1:37" ht="13.5" customHeight="1">
      <c r="A51" s="160" t="s">
        <v>371</v>
      </c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2"/>
      <c r="N51" s="113"/>
      <c r="O51" s="106"/>
      <c r="P51" s="106"/>
      <c r="Q51" s="106"/>
      <c r="R51" s="106"/>
      <c r="S51" s="106"/>
      <c r="T51" s="111"/>
      <c r="U51" s="160" t="s">
        <v>22</v>
      </c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83" t="s">
        <v>91</v>
      </c>
      <c r="AJ51" s="84"/>
      <c r="AK51" s="85"/>
    </row>
    <row r="52" spans="1:37" ht="13.5" customHeight="1">
      <c r="A52" s="136" t="s">
        <v>372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66"/>
      <c r="N52" s="113"/>
      <c r="O52" s="106"/>
      <c r="P52" s="106"/>
      <c r="Q52" s="106"/>
      <c r="R52" s="106"/>
      <c r="S52" s="106"/>
      <c r="T52" s="111"/>
      <c r="U52" s="136" t="s">
        <v>23</v>
      </c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92">
        <v>6</v>
      </c>
      <c r="AJ52" s="93"/>
      <c r="AK52" s="94"/>
    </row>
  </sheetData>
  <mergeCells count="140">
    <mergeCell ref="A20:C21"/>
    <mergeCell ref="D20:J20"/>
    <mergeCell ref="D21:J21"/>
    <mergeCell ref="K20:AA20"/>
    <mergeCell ref="K21:AA21"/>
    <mergeCell ref="AB20:AK20"/>
    <mergeCell ref="AB21:AK21"/>
    <mergeCell ref="AB9:AK10"/>
    <mergeCell ref="AB8:AK8"/>
    <mergeCell ref="A13:C13"/>
    <mergeCell ref="D13:J13"/>
    <mergeCell ref="K13:AA13"/>
    <mergeCell ref="AB13:AK13"/>
    <mergeCell ref="O10:R10"/>
    <mergeCell ref="S10:AA10"/>
    <mergeCell ref="A11:C12"/>
    <mergeCell ref="D11:J12"/>
    <mergeCell ref="K11:AA12"/>
    <mergeCell ref="AB11:AK12"/>
    <mergeCell ref="E1:G1"/>
    <mergeCell ref="H1:J1"/>
    <mergeCell ref="AA1:AB1"/>
    <mergeCell ref="AC1:AK1"/>
    <mergeCell ref="A3:C3"/>
    <mergeCell ref="D3:J3"/>
    <mergeCell ref="K3:AA3"/>
    <mergeCell ref="AB3:AK3"/>
    <mergeCell ref="A2:O2"/>
    <mergeCell ref="P1:T2"/>
    <mergeCell ref="U2:AK2"/>
    <mergeCell ref="N7:AA7"/>
    <mergeCell ref="AB7:AK7"/>
    <mergeCell ref="A8:C10"/>
    <mergeCell ref="K16:Q17"/>
    <mergeCell ref="R16:AA16"/>
    <mergeCell ref="R17:AA17"/>
    <mergeCell ref="D16:J17"/>
    <mergeCell ref="K19:AA19"/>
    <mergeCell ref="AB16:AK16"/>
    <mergeCell ref="A14:C19"/>
    <mergeCell ref="K14:AA15"/>
    <mergeCell ref="AB14:AK15"/>
    <mergeCell ref="D19:J19"/>
    <mergeCell ref="AB19:AK19"/>
    <mergeCell ref="AB17:AK17"/>
    <mergeCell ref="D8:J8"/>
    <mergeCell ref="K8:AA8"/>
    <mergeCell ref="D9:J10"/>
    <mergeCell ref="K9:N10"/>
    <mergeCell ref="O9:R9"/>
    <mergeCell ref="S9:AA9"/>
    <mergeCell ref="D14:J15"/>
    <mergeCell ref="AI52:AK52"/>
    <mergeCell ref="A4:C7"/>
    <mergeCell ref="D4:J7"/>
    <mergeCell ref="K4:M7"/>
    <mergeCell ref="N4:AA4"/>
    <mergeCell ref="AB4:AK6"/>
    <mergeCell ref="N5:Q5"/>
    <mergeCell ref="R5:AA5"/>
    <mergeCell ref="N6:Q6"/>
    <mergeCell ref="R6:AA6"/>
    <mergeCell ref="A45:AH45"/>
    <mergeCell ref="AI45:AK50"/>
    <mergeCell ref="U46:AH50"/>
    <mergeCell ref="U51:AH51"/>
    <mergeCell ref="AI51:AK51"/>
    <mergeCell ref="U52:AH52"/>
    <mergeCell ref="A39:D39"/>
    <mergeCell ref="E39:U39"/>
    <mergeCell ref="V39:AD39"/>
    <mergeCell ref="AE39:AK39"/>
    <mergeCell ref="A23:AK23"/>
    <mergeCell ref="D18:J18"/>
    <mergeCell ref="K18:AA18"/>
    <mergeCell ref="AB18:AK18"/>
    <mergeCell ref="V29:AD29"/>
    <mergeCell ref="AE29:AK29"/>
    <mergeCell ref="V27:AD27"/>
    <mergeCell ref="AE27:AK27"/>
    <mergeCell ref="A28:D28"/>
    <mergeCell ref="E28:U28"/>
    <mergeCell ref="V28:AD28"/>
    <mergeCell ref="AE28:AK28"/>
    <mergeCell ref="A24:D26"/>
    <mergeCell ref="E24:U26"/>
    <mergeCell ref="V24:AD26"/>
    <mergeCell ref="AE24:AK26"/>
    <mergeCell ref="A29:D29"/>
    <mergeCell ref="E29:U29"/>
    <mergeCell ref="A27:D27"/>
    <mergeCell ref="E27:U27"/>
    <mergeCell ref="A30:D31"/>
    <mergeCell ref="E30:U31"/>
    <mergeCell ref="V30:AD31"/>
    <mergeCell ref="AE30:AK31"/>
    <mergeCell ref="A40:D40"/>
    <mergeCell ref="E40:U40"/>
    <mergeCell ref="V40:AD40"/>
    <mergeCell ref="AE40:AK40"/>
    <mergeCell ref="E41:U41"/>
    <mergeCell ref="A41:D41"/>
    <mergeCell ref="V41:AD41"/>
    <mergeCell ref="AE41:AK41"/>
    <mergeCell ref="V34:AD35"/>
    <mergeCell ref="AE34:AK35"/>
    <mergeCell ref="A36:D38"/>
    <mergeCell ref="E36:U38"/>
    <mergeCell ref="V36:AD38"/>
    <mergeCell ref="AE36:AK38"/>
    <mergeCell ref="E34:U35"/>
    <mergeCell ref="A34:D35"/>
    <mergeCell ref="V32:AD33"/>
    <mergeCell ref="AE32:AK33"/>
    <mergeCell ref="A32:D33"/>
    <mergeCell ref="E32:U33"/>
    <mergeCell ref="AP15:AS15"/>
    <mergeCell ref="AV15:AW15"/>
    <mergeCell ref="N46:T52"/>
    <mergeCell ref="A46:M50"/>
    <mergeCell ref="A51:M51"/>
    <mergeCell ref="A52:M52"/>
    <mergeCell ref="AP5:AS5"/>
    <mergeCell ref="AV5:AW5"/>
    <mergeCell ref="AP7:AS7"/>
    <mergeCell ref="AV7:AW7"/>
    <mergeCell ref="AP9:AS9"/>
    <mergeCell ref="AV9:AW9"/>
    <mergeCell ref="AP11:AS11"/>
    <mergeCell ref="AV11:AW11"/>
    <mergeCell ref="AP13:AT13"/>
    <mergeCell ref="AV13:AW13"/>
    <mergeCell ref="A42:D42"/>
    <mergeCell ref="E42:U42"/>
    <mergeCell ref="V42:AD42"/>
    <mergeCell ref="AE42:AK42"/>
    <mergeCell ref="A43:D43"/>
    <mergeCell ref="E43:U43"/>
    <mergeCell ref="V43:AD43"/>
    <mergeCell ref="AE43:AK43"/>
  </mergeCells>
  <pageMargins left="0.76" right="0.44999999999999996" top="1.42" bottom="0" header="0.2" footer="0"/>
  <pageSetup orientation="portrait" scale="99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1" name="Button 1">
              <controlPr defaultSize="0" print="0" autoLine="0" autoPict="0">
                <macro>[0]!AnnexureIContd_Button1_Click</macro>
                <anchor moveWithCells="1" sizeWithCells="1">
                  <from>
                    <xdr:col>43</xdr:col>
                    <xdr:colOff>38100</xdr:colOff>
                    <xdr:row>0</xdr:row>
                    <xdr:rowOff>161925</xdr:rowOff>
                  </from>
                  <to>
                    <xdr:col>48</xdr:col>
                    <xdr:colOff>19050</xdr:colOff>
                    <xdr:row>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e22e80-1e8e-46db-bb8a-cb7810f02474}">
  <sheetPr codeName="Sheet3"/>
  <dimension ref="A1:AW71"/>
  <sheetViews>
    <sheetView view="pageLayout" zoomScaleNormal="100" workbookViewId="0" topLeftCell="A34">
      <selection pane="topLeft" activeCell="A51" sqref="A51:M51"/>
    </sheetView>
  </sheetViews>
  <sheetFormatPr defaultColWidth="2.4242857142857144" defaultRowHeight="13.5" customHeight="1"/>
  <cols>
    <col min="1" max="16384" width="2.4285714285714284" style="37"/>
  </cols>
  <sheetData>
    <row r="1" spans="1:38" s="10" customFormat="1" ht="13.5" customHeight="1">
      <c r="A1" s="65" t="str">
        <f>Certificate!A1</f>
        <v>C</v>
      </c>
      <c r="B1" s="65" t="str">
        <f>Certificate!B1</f>
        <v>A</v>
      </c>
      <c r="C1" s="65" t="str">
        <f>Certificate!C1</f>
        <v>N</v>
      </c>
      <c r="D1" s="65" t="str">
        <f>Certificate!D1</f>
        <v>F</v>
      </c>
      <c r="E1" s="106">
        <f>Certificate!E1</f>
        <v>4567</v>
      </c>
      <c r="F1" s="106"/>
      <c r="G1" s="106"/>
      <c r="H1" s="106">
        <f>Certificate!H1</f>
        <v>0</v>
      </c>
      <c r="I1" s="106"/>
      <c r="J1" s="106"/>
      <c r="K1" s="8"/>
      <c r="L1" s="9"/>
      <c r="M1" s="9"/>
      <c r="N1" s="9"/>
      <c r="O1" s="9"/>
      <c r="P1" s="274" t="s">
        <v>247</v>
      </c>
      <c r="Q1" s="274"/>
      <c r="R1" s="274"/>
      <c r="S1" s="274"/>
      <c r="T1" s="274"/>
      <c r="U1" s="9"/>
      <c r="V1" s="9"/>
      <c r="W1" s="9"/>
      <c r="X1" s="9"/>
      <c r="Y1" s="9"/>
      <c r="Z1" s="9"/>
      <c r="AA1" s="164" t="s">
        <v>27</v>
      </c>
      <c r="AB1" s="164"/>
      <c r="AC1" s="99" t="s">
        <v>105</v>
      </c>
      <c r="AD1" s="99"/>
      <c r="AE1" s="99"/>
      <c r="AF1" s="99"/>
      <c r="AG1" s="99"/>
      <c r="AH1" s="99"/>
      <c r="AI1" s="99"/>
      <c r="AJ1" s="99"/>
      <c r="AK1" s="99"/>
      <c r="AL1" s="20"/>
    </row>
    <row r="2" spans="1:37" ht="13.5" customHeight="1">
      <c r="A2" s="155" t="str">
        <f>Certificate!K10</f>
        <v>M/s XXX Ltd.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275"/>
      <c r="Q2" s="275"/>
      <c r="R2" s="275"/>
      <c r="S2" s="275"/>
      <c r="T2" s="275"/>
      <c r="U2" s="155" t="str">
        <f>Certificate!B19</f>
        <v>XXXX</v>
      </c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37" ht="18.6" customHeight="1">
      <c r="A3" s="296" t="s">
        <v>150</v>
      </c>
      <c r="B3" s="296"/>
      <c r="C3" s="296"/>
      <c r="D3" s="296"/>
      <c r="E3" s="81" t="s">
        <v>102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 t="s">
        <v>103</v>
      </c>
      <c r="W3" s="81"/>
      <c r="X3" s="81"/>
      <c r="Y3" s="81"/>
      <c r="Z3" s="81"/>
      <c r="AA3" s="81"/>
      <c r="AB3" s="81"/>
      <c r="AC3" s="81"/>
      <c r="AD3" s="81"/>
      <c r="AE3" s="123" t="s">
        <v>209</v>
      </c>
      <c r="AF3" s="81"/>
      <c r="AG3" s="81"/>
      <c r="AH3" s="81"/>
      <c r="AI3" s="81"/>
      <c r="AJ3" s="81"/>
      <c r="AK3" s="81"/>
    </row>
    <row r="4" spans="1:37" ht="18.6" customHeight="1">
      <c r="A4" s="296"/>
      <c r="B4" s="296"/>
      <c r="C4" s="296"/>
      <c r="D4" s="296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</row>
    <row r="5" spans="1:49" ht="13.5" customHeight="1">
      <c r="A5" s="199">
        <v>15</v>
      </c>
      <c r="B5" s="199"/>
      <c r="C5" s="199"/>
      <c r="D5" s="199"/>
      <c r="E5" s="70" t="s">
        <v>248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293" t="s">
        <v>249</v>
      </c>
      <c r="W5" s="294"/>
      <c r="X5" s="294"/>
      <c r="Y5" s="294"/>
      <c r="Z5" s="294"/>
      <c r="AA5" s="294"/>
      <c r="AB5" s="294"/>
      <c r="AC5" s="294"/>
      <c r="AD5" s="294"/>
      <c r="AE5" s="236" t="s">
        <v>142</v>
      </c>
      <c r="AF5" s="237"/>
      <c r="AG5" s="237"/>
      <c r="AH5" s="237"/>
      <c r="AI5" s="237"/>
      <c r="AJ5" s="237"/>
      <c r="AK5" s="237"/>
      <c r="AP5" s="104" t="s">
        <v>353</v>
      </c>
      <c r="AQ5" s="104"/>
      <c r="AR5" s="104"/>
      <c r="AS5" s="104"/>
      <c r="AT5" s="24"/>
      <c r="AU5" s="24"/>
      <c r="AV5" s="104">
        <v>0.76000000000000001</v>
      </c>
      <c r="AW5" s="104"/>
    </row>
    <row r="6" spans="1:48" ht="13.5" customHeight="1">
      <c r="A6" s="70">
        <v>16</v>
      </c>
      <c r="B6" s="70"/>
      <c r="C6" s="70"/>
      <c r="D6" s="70"/>
      <c r="E6" s="70" t="s">
        <v>250</v>
      </c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196" t="s">
        <v>251</v>
      </c>
      <c r="W6" s="196"/>
      <c r="X6" s="196"/>
      <c r="Y6" s="196"/>
      <c r="Z6" s="196"/>
      <c r="AA6" s="196"/>
      <c r="AB6" s="196"/>
      <c r="AC6" s="196"/>
      <c r="AD6" s="196"/>
      <c r="AE6" s="200" t="s">
        <v>133</v>
      </c>
      <c r="AF6" s="201"/>
      <c r="AG6" s="201"/>
      <c r="AH6" s="201"/>
      <c r="AI6" s="201"/>
      <c r="AJ6" s="201"/>
      <c r="AK6" s="201"/>
      <c r="AP6" s="24"/>
      <c r="AQ6" s="24"/>
      <c r="AR6" s="24"/>
      <c r="AS6" s="24"/>
      <c r="AT6" s="24"/>
      <c r="AU6" s="24"/>
      <c r="AV6" s="24"/>
    </row>
    <row r="7" spans="1:49" ht="13.5" customHeight="1">
      <c r="A7" s="70">
        <v>17</v>
      </c>
      <c r="B7" s="70"/>
      <c r="C7" s="70"/>
      <c r="D7" s="70"/>
      <c r="E7" s="70" t="s">
        <v>252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196" t="s">
        <v>253</v>
      </c>
      <c r="W7" s="196"/>
      <c r="X7" s="196"/>
      <c r="Y7" s="196"/>
      <c r="Z7" s="196"/>
      <c r="AA7" s="196"/>
      <c r="AB7" s="196"/>
      <c r="AC7" s="196"/>
      <c r="AD7" s="196"/>
      <c r="AE7" s="200" t="s">
        <v>133</v>
      </c>
      <c r="AF7" s="201"/>
      <c r="AG7" s="201"/>
      <c r="AH7" s="201"/>
      <c r="AI7" s="201"/>
      <c r="AJ7" s="201"/>
      <c r="AK7" s="201"/>
      <c r="AP7" s="157" t="s">
        <v>354</v>
      </c>
      <c r="AQ7" s="157"/>
      <c r="AR7" s="157"/>
      <c r="AS7" s="157"/>
      <c r="AT7" s="58"/>
      <c r="AU7" s="58"/>
      <c r="AV7" s="167">
        <v>0.45000000000000001</v>
      </c>
      <c r="AW7" s="167"/>
    </row>
    <row r="8" spans="1:48" ht="13.5" customHeight="1">
      <c r="A8" s="104">
        <v>18</v>
      </c>
      <c r="B8" s="104"/>
      <c r="C8" s="104"/>
      <c r="D8" s="104"/>
      <c r="E8" s="70" t="s">
        <v>87</v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82" t="s">
        <v>254</v>
      </c>
      <c r="W8" s="82"/>
      <c r="X8" s="82"/>
      <c r="Y8" s="82"/>
      <c r="Z8" s="82"/>
      <c r="AA8" s="82"/>
      <c r="AB8" s="82"/>
      <c r="AC8" s="82"/>
      <c r="AD8" s="82"/>
      <c r="AE8" s="200" t="s">
        <v>133</v>
      </c>
      <c r="AF8" s="201"/>
      <c r="AG8" s="201"/>
      <c r="AH8" s="201"/>
      <c r="AI8" s="201"/>
      <c r="AJ8" s="201"/>
      <c r="AK8" s="201"/>
      <c r="AP8" s="58"/>
      <c r="AQ8" s="58"/>
      <c r="AR8" s="58"/>
      <c r="AS8" s="58"/>
      <c r="AT8" s="58"/>
      <c r="AU8" s="58"/>
      <c r="AV8" s="58"/>
    </row>
    <row r="9" spans="1:49" ht="13.5" customHeight="1">
      <c r="A9" s="104">
        <v>20</v>
      </c>
      <c r="B9" s="104"/>
      <c r="C9" s="104"/>
      <c r="D9" s="104"/>
      <c r="E9" s="183" t="s">
        <v>255</v>
      </c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5"/>
      <c r="V9" s="82" t="s">
        <v>256</v>
      </c>
      <c r="W9" s="82"/>
      <c r="X9" s="82"/>
      <c r="Y9" s="82"/>
      <c r="Z9" s="82"/>
      <c r="AA9" s="82"/>
      <c r="AB9" s="82"/>
      <c r="AC9" s="82"/>
      <c r="AD9" s="82"/>
      <c r="AE9" s="200" t="s">
        <v>133</v>
      </c>
      <c r="AF9" s="201"/>
      <c r="AG9" s="201"/>
      <c r="AH9" s="201"/>
      <c r="AI9" s="201"/>
      <c r="AJ9" s="201"/>
      <c r="AK9" s="201"/>
      <c r="AP9" s="82" t="s">
        <v>355</v>
      </c>
      <c r="AQ9" s="82"/>
      <c r="AR9" s="82"/>
      <c r="AS9" s="82"/>
      <c r="AT9" s="58"/>
      <c r="AU9" s="58"/>
      <c r="AV9" s="167">
        <v>1.4199999999999999</v>
      </c>
      <c r="AW9" s="167"/>
    </row>
    <row r="10" spans="1:48" ht="13.5" customHeight="1">
      <c r="A10" s="295" t="s">
        <v>257</v>
      </c>
      <c r="B10" s="295"/>
      <c r="C10" s="295"/>
      <c r="D10" s="295"/>
      <c r="E10" s="180" t="s">
        <v>259</v>
      </c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2" t="s">
        <v>258</v>
      </c>
      <c r="W10" s="182"/>
      <c r="X10" s="182"/>
      <c r="Y10" s="182"/>
      <c r="Z10" s="182"/>
      <c r="AA10" s="182"/>
      <c r="AB10" s="182"/>
      <c r="AC10" s="182"/>
      <c r="AD10" s="182"/>
      <c r="AE10" s="236" t="s">
        <v>142</v>
      </c>
      <c r="AF10" s="237"/>
      <c r="AG10" s="237"/>
      <c r="AH10" s="237"/>
      <c r="AI10" s="237"/>
      <c r="AJ10" s="237"/>
      <c r="AK10" s="237"/>
      <c r="AP10" s="27"/>
      <c r="AQ10" s="27"/>
      <c r="AR10" s="26"/>
      <c r="AS10" s="26"/>
      <c r="AT10" s="26"/>
      <c r="AU10" s="26"/>
      <c r="AV10" s="26"/>
    </row>
    <row r="11" spans="1:49" ht="13.5" customHeight="1">
      <c r="A11" s="202" t="s">
        <v>261</v>
      </c>
      <c r="B11" s="203"/>
      <c r="C11" s="203"/>
      <c r="D11" s="204"/>
      <c r="E11" s="70" t="s">
        <v>260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182" t="s">
        <v>274</v>
      </c>
      <c r="W11" s="182"/>
      <c r="X11" s="182"/>
      <c r="Y11" s="182"/>
      <c r="Z11" s="182"/>
      <c r="AA11" s="182"/>
      <c r="AB11" s="182"/>
      <c r="AC11" s="182"/>
      <c r="AD11" s="182"/>
      <c r="AE11" s="236" t="s">
        <v>142</v>
      </c>
      <c r="AF11" s="237"/>
      <c r="AG11" s="237"/>
      <c r="AH11" s="237"/>
      <c r="AI11" s="237"/>
      <c r="AJ11" s="237"/>
      <c r="AK11" s="237"/>
      <c r="AP11" s="82" t="s">
        <v>356</v>
      </c>
      <c r="AQ11" s="82"/>
      <c r="AR11" s="82"/>
      <c r="AS11" s="82"/>
      <c r="AT11" s="26"/>
      <c r="AU11" s="26"/>
      <c r="AV11" s="145">
        <v>0</v>
      </c>
      <c r="AW11" s="147"/>
    </row>
    <row r="12" spans="1:48" ht="13.5" customHeight="1">
      <c r="A12" s="281" t="s">
        <v>262</v>
      </c>
      <c r="B12" s="282"/>
      <c r="C12" s="282"/>
      <c r="D12" s="283"/>
      <c r="E12" s="70" t="s">
        <v>144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82" t="s">
        <v>276</v>
      </c>
      <c r="W12" s="82"/>
      <c r="X12" s="82"/>
      <c r="Y12" s="82"/>
      <c r="Z12" s="82"/>
      <c r="AA12" s="82"/>
      <c r="AB12" s="82"/>
      <c r="AC12" s="82"/>
      <c r="AD12" s="82"/>
      <c r="AE12" s="236" t="s">
        <v>142</v>
      </c>
      <c r="AF12" s="237"/>
      <c r="AG12" s="237"/>
      <c r="AH12" s="237"/>
      <c r="AI12" s="237"/>
      <c r="AJ12" s="237"/>
      <c r="AK12" s="237"/>
      <c r="AP12" s="27"/>
      <c r="AQ12" s="27"/>
      <c r="AR12" s="27"/>
      <c r="AS12" s="27"/>
      <c r="AT12" s="27"/>
      <c r="AU12" s="27"/>
      <c r="AV12" s="27"/>
    </row>
    <row r="13" spans="1:49" ht="13.5" customHeight="1">
      <c r="A13" s="281" t="s">
        <v>263</v>
      </c>
      <c r="B13" s="282"/>
      <c r="C13" s="282"/>
      <c r="D13" s="283"/>
      <c r="E13" s="70" t="s">
        <v>145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82" t="s">
        <v>277</v>
      </c>
      <c r="W13" s="82"/>
      <c r="X13" s="82"/>
      <c r="Y13" s="82"/>
      <c r="Z13" s="82"/>
      <c r="AA13" s="82"/>
      <c r="AB13" s="82"/>
      <c r="AC13" s="82"/>
      <c r="AD13" s="82"/>
      <c r="AE13" s="236" t="s">
        <v>142</v>
      </c>
      <c r="AF13" s="237"/>
      <c r="AG13" s="237"/>
      <c r="AH13" s="237"/>
      <c r="AI13" s="237"/>
      <c r="AJ13" s="237"/>
      <c r="AK13" s="237"/>
      <c r="AP13" s="82" t="s">
        <v>357</v>
      </c>
      <c r="AQ13" s="82"/>
      <c r="AR13" s="82"/>
      <c r="AS13" s="82"/>
      <c r="AT13" s="82"/>
      <c r="AU13" s="27"/>
      <c r="AV13" s="158">
        <v>0.20000000000000001</v>
      </c>
      <c r="AW13" s="159"/>
    </row>
    <row r="14" spans="1:48" ht="13.5" customHeight="1">
      <c r="A14" s="281" t="s">
        <v>264</v>
      </c>
      <c r="B14" s="282"/>
      <c r="C14" s="282"/>
      <c r="D14" s="283"/>
      <c r="E14" s="70" t="s">
        <v>271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82" t="s">
        <v>278</v>
      </c>
      <c r="W14" s="82"/>
      <c r="X14" s="82"/>
      <c r="Y14" s="82"/>
      <c r="Z14" s="82"/>
      <c r="AA14" s="82"/>
      <c r="AB14" s="82"/>
      <c r="AC14" s="82"/>
      <c r="AD14" s="82"/>
      <c r="AE14" s="236" t="s">
        <v>142</v>
      </c>
      <c r="AF14" s="237"/>
      <c r="AG14" s="237"/>
      <c r="AH14" s="237"/>
      <c r="AI14" s="237"/>
      <c r="AJ14" s="237"/>
      <c r="AK14" s="237"/>
      <c r="AP14" s="27"/>
      <c r="AQ14" s="27"/>
      <c r="AR14" s="27"/>
      <c r="AS14" s="27"/>
      <c r="AT14" s="27"/>
      <c r="AU14" s="27"/>
      <c r="AV14" s="27"/>
    </row>
    <row r="15" spans="1:49" ht="13.5" customHeight="1">
      <c r="A15" s="281" t="s">
        <v>265</v>
      </c>
      <c r="B15" s="282"/>
      <c r="C15" s="282"/>
      <c r="D15" s="283"/>
      <c r="E15" s="70" t="s">
        <v>272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82" t="s">
        <v>279</v>
      </c>
      <c r="W15" s="82"/>
      <c r="X15" s="82"/>
      <c r="Y15" s="82"/>
      <c r="Z15" s="82"/>
      <c r="AA15" s="82"/>
      <c r="AB15" s="82"/>
      <c r="AC15" s="82"/>
      <c r="AD15" s="82"/>
      <c r="AE15" s="236" t="s">
        <v>142</v>
      </c>
      <c r="AF15" s="237"/>
      <c r="AG15" s="237"/>
      <c r="AH15" s="237"/>
      <c r="AI15" s="237"/>
      <c r="AJ15" s="237"/>
      <c r="AK15" s="237"/>
      <c r="AP15" s="157" t="s">
        <v>359</v>
      </c>
      <c r="AQ15" s="157"/>
      <c r="AR15" s="157"/>
      <c r="AS15" s="157"/>
      <c r="AT15" s="58"/>
      <c r="AU15" s="58"/>
      <c r="AV15" s="158">
        <v>0</v>
      </c>
      <c r="AW15" s="159"/>
    </row>
    <row r="16" spans="1:37" ht="13.5" customHeight="1">
      <c r="A16" s="281" t="s">
        <v>265</v>
      </c>
      <c r="B16" s="282"/>
      <c r="C16" s="282"/>
      <c r="D16" s="283"/>
      <c r="E16" s="70" t="s">
        <v>273</v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82" t="s">
        <v>275</v>
      </c>
      <c r="W16" s="82"/>
      <c r="X16" s="82"/>
      <c r="Y16" s="82"/>
      <c r="Z16" s="82"/>
      <c r="AA16" s="82"/>
      <c r="AB16" s="82"/>
      <c r="AC16" s="82"/>
      <c r="AD16" s="82"/>
      <c r="AE16" s="236" t="s">
        <v>142</v>
      </c>
      <c r="AF16" s="237"/>
      <c r="AG16" s="237"/>
      <c r="AH16" s="237"/>
      <c r="AI16" s="237"/>
      <c r="AJ16" s="237"/>
      <c r="AK16" s="237"/>
    </row>
    <row r="17" spans="1:37" ht="13.5" customHeight="1">
      <c r="A17" s="281" t="s">
        <v>266</v>
      </c>
      <c r="B17" s="282"/>
      <c r="C17" s="282"/>
      <c r="D17" s="283"/>
      <c r="E17" s="168" t="s">
        <v>280</v>
      </c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70"/>
      <c r="V17" s="83" t="s">
        <v>146</v>
      </c>
      <c r="W17" s="84"/>
      <c r="X17" s="84"/>
      <c r="Y17" s="84"/>
      <c r="Z17" s="84"/>
      <c r="AA17" s="84"/>
      <c r="AB17" s="84"/>
      <c r="AC17" s="84"/>
      <c r="AD17" s="85"/>
      <c r="AE17" s="214" t="s">
        <v>142</v>
      </c>
      <c r="AF17" s="215"/>
      <c r="AG17" s="215"/>
      <c r="AH17" s="215"/>
      <c r="AI17" s="215"/>
      <c r="AJ17" s="215"/>
      <c r="AK17" s="216"/>
    </row>
    <row r="18" spans="1:37" ht="13.5" customHeight="1">
      <c r="A18" s="284"/>
      <c r="B18" s="285"/>
      <c r="C18" s="285"/>
      <c r="D18" s="286"/>
      <c r="E18" s="171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3"/>
      <c r="V18" s="86"/>
      <c r="W18" s="87"/>
      <c r="X18" s="87"/>
      <c r="Y18" s="87"/>
      <c r="Z18" s="87"/>
      <c r="AA18" s="87"/>
      <c r="AB18" s="87"/>
      <c r="AC18" s="87"/>
      <c r="AD18" s="88"/>
      <c r="AE18" s="217"/>
      <c r="AF18" s="218"/>
      <c r="AG18" s="218"/>
      <c r="AH18" s="218"/>
      <c r="AI18" s="218"/>
      <c r="AJ18" s="218"/>
      <c r="AK18" s="219"/>
    </row>
    <row r="19" spans="1:37" ht="13.5" customHeight="1">
      <c r="A19" s="281" t="s">
        <v>267</v>
      </c>
      <c r="B19" s="282"/>
      <c r="C19" s="282"/>
      <c r="D19" s="283"/>
      <c r="E19" s="183" t="s">
        <v>281</v>
      </c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5"/>
      <c r="V19" s="82" t="s">
        <v>282</v>
      </c>
      <c r="W19" s="82"/>
      <c r="X19" s="82"/>
      <c r="Y19" s="82"/>
      <c r="Z19" s="82"/>
      <c r="AA19" s="82"/>
      <c r="AB19" s="82"/>
      <c r="AC19" s="82"/>
      <c r="AD19" s="82"/>
      <c r="AE19" s="236" t="s">
        <v>142</v>
      </c>
      <c r="AF19" s="237"/>
      <c r="AG19" s="237"/>
      <c r="AH19" s="237"/>
      <c r="AI19" s="237"/>
      <c r="AJ19" s="237"/>
      <c r="AK19" s="237"/>
    </row>
    <row r="20" spans="1:37" ht="13.5" customHeight="1">
      <c r="A20" s="281" t="s">
        <v>268</v>
      </c>
      <c r="B20" s="282"/>
      <c r="C20" s="282"/>
      <c r="D20" s="283"/>
      <c r="E20" s="183" t="s">
        <v>286</v>
      </c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5"/>
      <c r="V20" s="82" t="s">
        <v>283</v>
      </c>
      <c r="W20" s="82"/>
      <c r="X20" s="82"/>
      <c r="Y20" s="82"/>
      <c r="Z20" s="82"/>
      <c r="AA20" s="82"/>
      <c r="AB20" s="82"/>
      <c r="AC20" s="82"/>
      <c r="AD20" s="82"/>
      <c r="AE20" s="236" t="s">
        <v>142</v>
      </c>
      <c r="AF20" s="237"/>
      <c r="AG20" s="237"/>
      <c r="AH20" s="237"/>
      <c r="AI20" s="237"/>
      <c r="AJ20" s="237"/>
      <c r="AK20" s="237"/>
    </row>
    <row r="21" spans="1:37" ht="13.5" customHeight="1">
      <c r="A21" s="281" t="s">
        <v>269</v>
      </c>
      <c r="B21" s="282"/>
      <c r="C21" s="282"/>
      <c r="D21" s="283"/>
      <c r="E21" s="183" t="s">
        <v>287</v>
      </c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5"/>
      <c r="V21" s="82" t="s">
        <v>284</v>
      </c>
      <c r="W21" s="82"/>
      <c r="X21" s="82"/>
      <c r="Y21" s="82"/>
      <c r="Z21" s="82"/>
      <c r="AA21" s="82"/>
      <c r="AB21" s="82"/>
      <c r="AC21" s="82"/>
      <c r="AD21" s="82"/>
      <c r="AE21" s="236" t="s">
        <v>142</v>
      </c>
      <c r="AF21" s="237"/>
      <c r="AG21" s="237"/>
      <c r="AH21" s="237"/>
      <c r="AI21" s="237"/>
      <c r="AJ21" s="237"/>
      <c r="AK21" s="237"/>
    </row>
    <row r="22" spans="1:37" ht="13.5" customHeight="1">
      <c r="A22" s="281" t="s">
        <v>270</v>
      </c>
      <c r="B22" s="282"/>
      <c r="C22" s="282"/>
      <c r="D22" s="283"/>
      <c r="E22" s="183" t="s">
        <v>147</v>
      </c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5"/>
      <c r="V22" s="82" t="s">
        <v>285</v>
      </c>
      <c r="W22" s="82"/>
      <c r="X22" s="82"/>
      <c r="Y22" s="82"/>
      <c r="Z22" s="82"/>
      <c r="AA22" s="82"/>
      <c r="AB22" s="82"/>
      <c r="AC22" s="82"/>
      <c r="AD22" s="82"/>
      <c r="AE22" s="236" t="s">
        <v>142</v>
      </c>
      <c r="AF22" s="237"/>
      <c r="AG22" s="237"/>
      <c r="AH22" s="237"/>
      <c r="AI22" s="237"/>
      <c r="AJ22" s="237"/>
      <c r="AK22" s="237"/>
    </row>
    <row r="23" spans="1:37" ht="13.5" customHeight="1">
      <c r="A23" s="70" t="s">
        <v>76</v>
      </c>
      <c r="B23" s="70"/>
      <c r="C23" s="70"/>
      <c r="D23" s="70"/>
      <c r="E23" s="70" t="s">
        <v>77</v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82" t="s">
        <v>159</v>
      </c>
      <c r="W23" s="82"/>
      <c r="X23" s="82"/>
      <c r="Y23" s="82"/>
      <c r="Z23" s="82"/>
      <c r="AA23" s="82"/>
      <c r="AB23" s="82"/>
      <c r="AC23" s="82"/>
      <c r="AD23" s="82"/>
      <c r="AE23" s="200" t="s">
        <v>133</v>
      </c>
      <c r="AF23" s="201"/>
      <c r="AG23" s="201"/>
      <c r="AH23" s="201"/>
      <c r="AI23" s="201"/>
      <c r="AJ23" s="201"/>
      <c r="AK23" s="201"/>
    </row>
    <row r="24" spans="1:37" ht="13.5" customHeight="1">
      <c r="A24" s="70">
        <v>23</v>
      </c>
      <c r="B24" s="70"/>
      <c r="C24" s="70"/>
      <c r="D24" s="70"/>
      <c r="E24" s="70" t="s">
        <v>78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82" t="s">
        <v>160</v>
      </c>
      <c r="W24" s="82"/>
      <c r="X24" s="82"/>
      <c r="Y24" s="82"/>
      <c r="Z24" s="82"/>
      <c r="AA24" s="82"/>
      <c r="AB24" s="82"/>
      <c r="AC24" s="82"/>
      <c r="AD24" s="82"/>
      <c r="AE24" s="200" t="s">
        <v>133</v>
      </c>
      <c r="AF24" s="201"/>
      <c r="AG24" s="201"/>
      <c r="AH24" s="201"/>
      <c r="AI24" s="201"/>
      <c r="AJ24" s="201"/>
      <c r="AK24" s="201"/>
    </row>
    <row r="25" spans="1:37" ht="13.5" customHeight="1">
      <c r="A25" s="70" t="s">
        <v>124</v>
      </c>
      <c r="B25" s="70"/>
      <c r="C25" s="70"/>
      <c r="D25" s="70"/>
      <c r="E25" s="70" t="s">
        <v>88</v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82" t="s">
        <v>89</v>
      </c>
      <c r="W25" s="82"/>
      <c r="X25" s="82"/>
      <c r="Y25" s="82"/>
      <c r="Z25" s="82"/>
      <c r="AA25" s="82"/>
      <c r="AB25" s="82"/>
      <c r="AC25" s="82"/>
      <c r="AD25" s="82"/>
      <c r="AE25" s="200" t="s">
        <v>133</v>
      </c>
      <c r="AF25" s="201"/>
      <c r="AG25" s="201"/>
      <c r="AH25" s="201"/>
      <c r="AI25" s="201"/>
      <c r="AJ25" s="201"/>
      <c r="AK25" s="201"/>
    </row>
    <row r="26" spans="1:37" ht="13.5" customHeight="1">
      <c r="A26" s="70">
        <v>34</v>
      </c>
      <c r="B26" s="70"/>
      <c r="C26" s="70"/>
      <c r="D26" s="70"/>
      <c r="E26" s="70" t="s">
        <v>288</v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82" t="s">
        <v>289</v>
      </c>
      <c r="W26" s="82"/>
      <c r="X26" s="82"/>
      <c r="Y26" s="82"/>
      <c r="Z26" s="82"/>
      <c r="AA26" s="82"/>
      <c r="AB26" s="82"/>
      <c r="AC26" s="82"/>
      <c r="AD26" s="82"/>
      <c r="AE26" s="200" t="s">
        <v>133</v>
      </c>
      <c r="AF26" s="201"/>
      <c r="AG26" s="201"/>
      <c r="AH26" s="201"/>
      <c r="AI26" s="201"/>
      <c r="AJ26" s="201"/>
      <c r="AK26" s="201"/>
    </row>
    <row r="27" spans="1:37" ht="13.5" customHeight="1">
      <c r="A27" s="70">
        <v>38</v>
      </c>
      <c r="B27" s="70"/>
      <c r="C27" s="70"/>
      <c r="D27" s="70"/>
      <c r="E27" s="183" t="s">
        <v>290</v>
      </c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5"/>
      <c r="V27" s="82" t="s">
        <v>291</v>
      </c>
      <c r="W27" s="82"/>
      <c r="X27" s="82"/>
      <c r="Y27" s="82"/>
      <c r="Z27" s="82"/>
      <c r="AA27" s="82"/>
      <c r="AB27" s="82"/>
      <c r="AC27" s="82"/>
      <c r="AD27" s="82"/>
      <c r="AE27" s="200" t="s">
        <v>133</v>
      </c>
      <c r="AF27" s="201"/>
      <c r="AG27" s="201"/>
      <c r="AH27" s="201"/>
      <c r="AI27" s="201"/>
      <c r="AJ27" s="201"/>
      <c r="AK27" s="201"/>
    </row>
    <row r="28" spans="1:37" ht="13.5" customHeight="1">
      <c r="A28" s="70">
        <v>41</v>
      </c>
      <c r="B28" s="70"/>
      <c r="C28" s="70"/>
      <c r="D28" s="70"/>
      <c r="E28" s="183" t="s">
        <v>292</v>
      </c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5"/>
      <c r="V28" s="82" t="s">
        <v>293</v>
      </c>
      <c r="W28" s="82"/>
      <c r="X28" s="82"/>
      <c r="Y28" s="82"/>
      <c r="Z28" s="82"/>
      <c r="AA28" s="82"/>
      <c r="AB28" s="82"/>
      <c r="AC28" s="82"/>
      <c r="AD28" s="82"/>
      <c r="AE28" s="200" t="s">
        <v>133</v>
      </c>
      <c r="AF28" s="201"/>
      <c r="AG28" s="201"/>
      <c r="AH28" s="201"/>
      <c r="AI28" s="201"/>
      <c r="AJ28" s="201"/>
      <c r="AK28" s="201"/>
    </row>
    <row r="29" spans="1:37" ht="13.5" customHeight="1">
      <c r="A29" s="70">
        <v>45</v>
      </c>
      <c r="B29" s="70"/>
      <c r="C29" s="70"/>
      <c r="D29" s="70"/>
      <c r="E29" s="70" t="s">
        <v>294</v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82" t="s">
        <v>295</v>
      </c>
      <c r="W29" s="82"/>
      <c r="X29" s="82"/>
      <c r="Y29" s="82"/>
      <c r="Z29" s="82"/>
      <c r="AA29" s="82"/>
      <c r="AB29" s="82"/>
      <c r="AC29" s="82"/>
      <c r="AD29" s="82"/>
      <c r="AE29" s="200" t="s">
        <v>133</v>
      </c>
      <c r="AF29" s="201"/>
      <c r="AG29" s="201"/>
      <c r="AH29" s="201"/>
      <c r="AI29" s="201"/>
      <c r="AJ29" s="201"/>
      <c r="AK29" s="201"/>
    </row>
    <row r="30" spans="1:37" ht="13.5" customHeight="1">
      <c r="A30" s="199" t="s">
        <v>297</v>
      </c>
      <c r="B30" s="199"/>
      <c r="C30" s="199"/>
      <c r="D30" s="199"/>
      <c r="E30" s="199" t="s">
        <v>296</v>
      </c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0" t="s">
        <v>299</v>
      </c>
      <c r="W30" s="190"/>
      <c r="X30" s="190"/>
      <c r="Y30" s="190"/>
      <c r="Z30" s="190"/>
      <c r="AA30" s="190"/>
      <c r="AB30" s="190"/>
      <c r="AC30" s="190"/>
      <c r="AD30" s="190"/>
      <c r="AE30" s="200" t="s">
        <v>133</v>
      </c>
      <c r="AF30" s="201"/>
      <c r="AG30" s="201"/>
      <c r="AH30" s="201"/>
      <c r="AI30" s="201"/>
      <c r="AJ30" s="201"/>
      <c r="AK30" s="201"/>
    </row>
    <row r="31" spans="1:37" ht="13.5" customHeight="1">
      <c r="A31" s="199" t="s">
        <v>298</v>
      </c>
      <c r="B31" s="199"/>
      <c r="C31" s="199"/>
      <c r="D31" s="199"/>
      <c r="E31" s="199" t="s">
        <v>300</v>
      </c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0" t="s">
        <v>301</v>
      </c>
      <c r="W31" s="190"/>
      <c r="X31" s="190"/>
      <c r="Y31" s="190"/>
      <c r="Z31" s="190"/>
      <c r="AA31" s="190"/>
      <c r="AB31" s="190"/>
      <c r="AC31" s="190"/>
      <c r="AD31" s="190"/>
      <c r="AE31" s="236" t="s">
        <v>142</v>
      </c>
      <c r="AF31" s="237"/>
      <c r="AG31" s="237"/>
      <c r="AH31" s="237"/>
      <c r="AI31" s="237"/>
      <c r="AJ31" s="237"/>
      <c r="AK31" s="237"/>
    </row>
    <row r="32" spans="1:37" ht="13.5" customHeight="1">
      <c r="A32" s="199">
        <v>50</v>
      </c>
      <c r="B32" s="199"/>
      <c r="C32" s="199"/>
      <c r="D32" s="199"/>
      <c r="E32" s="199" t="s">
        <v>302</v>
      </c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0" t="s">
        <v>307</v>
      </c>
      <c r="W32" s="190"/>
      <c r="X32" s="190"/>
      <c r="Y32" s="190"/>
      <c r="Z32" s="190"/>
      <c r="AA32" s="190"/>
      <c r="AB32" s="190"/>
      <c r="AC32" s="190"/>
      <c r="AD32" s="190"/>
      <c r="AE32" s="200" t="s">
        <v>133</v>
      </c>
      <c r="AF32" s="200"/>
      <c r="AG32" s="200"/>
      <c r="AH32" s="200"/>
      <c r="AI32" s="200"/>
      <c r="AJ32" s="200"/>
      <c r="AK32" s="200"/>
    </row>
    <row r="33" spans="1:37" ht="13.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0"/>
      <c r="W33" s="190"/>
      <c r="X33" s="190"/>
      <c r="Y33" s="190"/>
      <c r="Z33" s="190"/>
      <c r="AA33" s="190"/>
      <c r="AB33" s="190"/>
      <c r="AC33" s="190"/>
      <c r="AD33" s="190"/>
      <c r="AE33" s="200"/>
      <c r="AF33" s="200"/>
      <c r="AG33" s="200"/>
      <c r="AH33" s="200"/>
      <c r="AI33" s="200"/>
      <c r="AJ33" s="200"/>
      <c r="AK33" s="200"/>
    </row>
    <row r="34" spans="1:37" ht="13.5" customHeight="1">
      <c r="A34" s="281">
        <v>51</v>
      </c>
      <c r="B34" s="282"/>
      <c r="C34" s="282"/>
      <c r="D34" s="283"/>
      <c r="E34" s="281" t="s">
        <v>303</v>
      </c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3"/>
      <c r="V34" s="287" t="s">
        <v>306</v>
      </c>
      <c r="W34" s="288"/>
      <c r="X34" s="288"/>
      <c r="Y34" s="288"/>
      <c r="Z34" s="288"/>
      <c r="AA34" s="288"/>
      <c r="AB34" s="288"/>
      <c r="AC34" s="288"/>
      <c r="AD34" s="289"/>
      <c r="AE34" s="200" t="s">
        <v>133</v>
      </c>
      <c r="AF34" s="200"/>
      <c r="AG34" s="200"/>
      <c r="AH34" s="200"/>
      <c r="AI34" s="200"/>
      <c r="AJ34" s="200"/>
      <c r="AK34" s="200"/>
    </row>
    <row r="35" spans="1:37" ht="13.5" customHeight="1">
      <c r="A35" s="284"/>
      <c r="B35" s="285"/>
      <c r="C35" s="285"/>
      <c r="D35" s="286"/>
      <c r="E35" s="284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6"/>
      <c r="V35" s="290"/>
      <c r="W35" s="291"/>
      <c r="X35" s="291"/>
      <c r="Y35" s="291"/>
      <c r="Z35" s="291"/>
      <c r="AA35" s="291"/>
      <c r="AB35" s="291"/>
      <c r="AC35" s="291"/>
      <c r="AD35" s="292"/>
      <c r="AE35" s="200"/>
      <c r="AF35" s="200"/>
      <c r="AG35" s="200"/>
      <c r="AH35" s="200"/>
      <c r="AI35" s="200"/>
      <c r="AJ35" s="200"/>
      <c r="AK35" s="200"/>
    </row>
    <row r="36" spans="1:37" ht="13.5" customHeight="1">
      <c r="A36" s="281">
        <v>52</v>
      </c>
      <c r="B36" s="282"/>
      <c r="C36" s="282"/>
      <c r="D36" s="283"/>
      <c r="E36" s="281" t="s">
        <v>304</v>
      </c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3"/>
      <c r="V36" s="287" t="s">
        <v>305</v>
      </c>
      <c r="W36" s="288"/>
      <c r="X36" s="288"/>
      <c r="Y36" s="288"/>
      <c r="Z36" s="288"/>
      <c r="AA36" s="288"/>
      <c r="AB36" s="288"/>
      <c r="AC36" s="288"/>
      <c r="AD36" s="289"/>
      <c r="AE36" s="214" t="s">
        <v>142</v>
      </c>
      <c r="AF36" s="215"/>
      <c r="AG36" s="215"/>
      <c r="AH36" s="215"/>
      <c r="AI36" s="215"/>
      <c r="AJ36" s="215"/>
      <c r="AK36" s="216"/>
    </row>
    <row r="37" spans="1:37" ht="13.5" customHeight="1">
      <c r="A37" s="284"/>
      <c r="B37" s="285"/>
      <c r="C37" s="285"/>
      <c r="D37" s="286"/>
      <c r="E37" s="284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6"/>
      <c r="V37" s="290"/>
      <c r="W37" s="291"/>
      <c r="X37" s="291"/>
      <c r="Y37" s="291"/>
      <c r="Z37" s="291"/>
      <c r="AA37" s="291"/>
      <c r="AB37" s="291"/>
      <c r="AC37" s="291"/>
      <c r="AD37" s="292"/>
      <c r="AE37" s="217"/>
      <c r="AF37" s="218"/>
      <c r="AG37" s="218"/>
      <c r="AH37" s="218"/>
      <c r="AI37" s="218"/>
      <c r="AJ37" s="218"/>
      <c r="AK37" s="219"/>
    </row>
    <row r="38" spans="1:37" ht="13.5" customHeight="1">
      <c r="A38" s="70">
        <v>53</v>
      </c>
      <c r="B38" s="70"/>
      <c r="C38" s="70"/>
      <c r="D38" s="70"/>
      <c r="E38" s="70" t="s">
        <v>308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82" t="s">
        <v>369</v>
      </c>
      <c r="W38" s="82"/>
      <c r="X38" s="82"/>
      <c r="Y38" s="82"/>
      <c r="Z38" s="82"/>
      <c r="AA38" s="82"/>
      <c r="AB38" s="82"/>
      <c r="AC38" s="82"/>
      <c r="AD38" s="82"/>
      <c r="AE38" s="236" t="s">
        <v>142</v>
      </c>
      <c r="AF38" s="236"/>
      <c r="AG38" s="236"/>
      <c r="AH38" s="236"/>
      <c r="AI38" s="236"/>
      <c r="AJ38" s="236"/>
      <c r="AK38" s="236"/>
    </row>
    <row r="39" spans="1:37" ht="13.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82"/>
      <c r="W39" s="82"/>
      <c r="X39" s="82"/>
      <c r="Y39" s="82"/>
      <c r="Z39" s="82"/>
      <c r="AA39" s="82"/>
      <c r="AB39" s="82"/>
      <c r="AC39" s="82"/>
      <c r="AD39" s="82"/>
      <c r="AE39" s="236"/>
      <c r="AF39" s="236"/>
      <c r="AG39" s="236"/>
      <c r="AH39" s="236"/>
      <c r="AI39" s="236"/>
      <c r="AJ39" s="236"/>
      <c r="AK39" s="236"/>
    </row>
    <row r="40" spans="1:37" ht="14.2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7"/>
      <c r="W40" s="47"/>
      <c r="X40" s="47"/>
      <c r="Y40" s="47"/>
      <c r="Z40" s="47"/>
      <c r="AA40" s="47"/>
      <c r="AB40" s="47"/>
      <c r="AC40" s="47"/>
      <c r="AD40" s="47"/>
      <c r="AE40" s="44"/>
      <c r="AF40" s="48"/>
      <c r="AG40" s="48"/>
      <c r="AH40" s="48"/>
      <c r="AI40" s="48"/>
      <c r="AJ40" s="48"/>
      <c r="AK40" s="48"/>
    </row>
    <row r="41" spans="1:37" ht="13.5" customHeight="1">
      <c r="A41" s="26"/>
      <c r="B41" s="26"/>
      <c r="C41" s="26"/>
      <c r="D41" s="26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27"/>
      <c r="W41" s="27"/>
      <c r="X41" s="27"/>
      <c r="Y41" s="27"/>
      <c r="Z41" s="27"/>
      <c r="AA41" s="27"/>
      <c r="AB41" s="27"/>
      <c r="AC41" s="27"/>
      <c r="AD41" s="27"/>
      <c r="AE41" s="49"/>
      <c r="AF41" s="49"/>
      <c r="AG41" s="49"/>
      <c r="AH41" s="49"/>
      <c r="AI41" s="49"/>
      <c r="AJ41" s="49"/>
      <c r="AK41" s="49"/>
    </row>
    <row r="42" spans="1:37" ht="13.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 spans="1:37" ht="14.2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</row>
    <row r="44" spans="1:37" ht="13.5" customHeight="1">
      <c r="A44" s="105" t="s">
        <v>115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6"/>
      <c r="AJ44" s="106"/>
      <c r="AK44" s="106"/>
    </row>
    <row r="45" spans="1:37" ht="13.5" customHeight="1">
      <c r="A45" s="160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2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</row>
    <row r="46" spans="1:37" ht="13.5" customHeight="1">
      <c r="A46" s="163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5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</row>
    <row r="47" spans="1:37" ht="13.5" customHeight="1">
      <c r="A47" s="163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5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</row>
    <row r="48" spans="1:37" ht="13.5" customHeight="1">
      <c r="A48" s="163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5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</row>
    <row r="49" spans="1:37" ht="13.5" customHeight="1">
      <c r="A49" s="136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66"/>
      <c r="N49" s="106"/>
      <c r="O49" s="106"/>
      <c r="P49" s="106"/>
      <c r="Q49" s="106"/>
      <c r="R49" s="106"/>
      <c r="S49" s="106"/>
      <c r="T49" s="10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</row>
    <row r="50" spans="1:37" ht="13.5" customHeight="1">
      <c r="A50" s="160" t="s">
        <v>371</v>
      </c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2"/>
      <c r="N50" s="106"/>
      <c r="O50" s="106"/>
      <c r="P50" s="106"/>
      <c r="Q50" s="106"/>
      <c r="R50" s="106"/>
      <c r="S50" s="106"/>
      <c r="T50" s="106"/>
      <c r="U50" s="160" t="s">
        <v>22</v>
      </c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2"/>
      <c r="AI50" s="83" t="s">
        <v>92</v>
      </c>
      <c r="AJ50" s="84"/>
      <c r="AK50" s="85"/>
    </row>
    <row r="51" spans="1:37" ht="13.5" customHeight="1">
      <c r="A51" s="136" t="s">
        <v>372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66"/>
      <c r="N51" s="106"/>
      <c r="O51" s="106"/>
      <c r="P51" s="106"/>
      <c r="Q51" s="106"/>
      <c r="R51" s="106"/>
      <c r="S51" s="106"/>
      <c r="T51" s="106"/>
      <c r="U51" s="136" t="s">
        <v>23</v>
      </c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66"/>
      <c r="AI51" s="92">
        <v>6</v>
      </c>
      <c r="AJ51" s="93"/>
      <c r="AK51" s="94"/>
    </row>
    <row r="52" spans="1:30" ht="13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ht="13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ht="13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ht="13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ht="13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ht="13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ht="13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ht="13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ht="13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ht="13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ht="13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ht="13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ht="13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ht="13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ht="13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ht="13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</sheetData>
  <mergeCells count="154">
    <mergeCell ref="A2:O2"/>
    <mergeCell ref="U2:AK2"/>
    <mergeCell ref="A24:D24"/>
    <mergeCell ref="A3:D4"/>
    <mergeCell ref="E6:U6"/>
    <mergeCell ref="E7:U7"/>
    <mergeCell ref="A5:D5"/>
    <mergeCell ref="A6:D6"/>
    <mergeCell ref="A7:D7"/>
    <mergeCell ref="A16:D16"/>
    <mergeCell ref="A17:D18"/>
    <mergeCell ref="E9:U9"/>
    <mergeCell ref="E10:U10"/>
    <mergeCell ref="E11:U11"/>
    <mergeCell ref="E12:U12"/>
    <mergeCell ref="E13:U13"/>
    <mergeCell ref="E14:U14"/>
    <mergeCell ref="E15:U15"/>
    <mergeCell ref="E16:U16"/>
    <mergeCell ref="E17:U18"/>
    <mergeCell ref="V9:AD9"/>
    <mergeCell ref="V10:AD10"/>
    <mergeCell ref="V11:AD11"/>
    <mergeCell ref="V12:AD12"/>
    <mergeCell ref="AE26:AK26"/>
    <mergeCell ref="V26:AD26"/>
    <mergeCell ref="V3:AD4"/>
    <mergeCell ref="E25:U25"/>
    <mergeCell ref="A23:D23"/>
    <mergeCell ref="E8:U8"/>
    <mergeCell ref="A8:D8"/>
    <mergeCell ref="V24:AD24"/>
    <mergeCell ref="AE8:AK8"/>
    <mergeCell ref="E24:U24"/>
    <mergeCell ref="V8:AD8"/>
    <mergeCell ref="AE23:AK23"/>
    <mergeCell ref="V23:AD23"/>
    <mergeCell ref="E23:U23"/>
    <mergeCell ref="A26:D26"/>
    <mergeCell ref="A25:D25"/>
    <mergeCell ref="AE25:AK25"/>
    <mergeCell ref="A9:D9"/>
    <mergeCell ref="A10:D10"/>
    <mergeCell ref="A11:D11"/>
    <mergeCell ref="A12:D12"/>
    <mergeCell ref="A13:D13"/>
    <mergeCell ref="A14:D14"/>
    <mergeCell ref="A15:D15"/>
    <mergeCell ref="E1:G1"/>
    <mergeCell ref="AI50:AK50"/>
    <mergeCell ref="H1:J1"/>
    <mergeCell ref="V5:AD5"/>
    <mergeCell ref="V6:AD6"/>
    <mergeCell ref="AE6:AK6"/>
    <mergeCell ref="V7:AD7"/>
    <mergeCell ref="AE7:AK7"/>
    <mergeCell ref="AE5:AK5"/>
    <mergeCell ref="V25:AD25"/>
    <mergeCell ref="AE3:AK4"/>
    <mergeCell ref="AE24:AK24"/>
    <mergeCell ref="E3:U4"/>
    <mergeCell ref="E5:U5"/>
    <mergeCell ref="V28:AD28"/>
    <mergeCell ref="AA1:AB1"/>
    <mergeCell ref="AE28:AK28"/>
    <mergeCell ref="V27:AD27"/>
    <mergeCell ref="AC1:AK1"/>
    <mergeCell ref="V29:AD29"/>
    <mergeCell ref="AE29:AK29"/>
    <mergeCell ref="V30:AD30"/>
    <mergeCell ref="U50:AH50"/>
    <mergeCell ref="AE32:AK33"/>
    <mergeCell ref="U51:AH51"/>
    <mergeCell ref="AI51:AK51"/>
    <mergeCell ref="AI44:AK49"/>
    <mergeCell ref="AE38:AK39"/>
    <mergeCell ref="N45:T51"/>
    <mergeCell ref="A45:M49"/>
    <mergeCell ref="A50:M50"/>
    <mergeCell ref="A51:M51"/>
    <mergeCell ref="E36:U37"/>
    <mergeCell ref="A36:D37"/>
    <mergeCell ref="V36:AD37"/>
    <mergeCell ref="AE36:AK37"/>
    <mergeCell ref="E38:U39"/>
    <mergeCell ref="A38:D39"/>
    <mergeCell ref="V38:AD39"/>
    <mergeCell ref="A44:AH44"/>
    <mergeCell ref="U45:AH49"/>
    <mergeCell ref="AE30:AK30"/>
    <mergeCell ref="AE31:AK31"/>
    <mergeCell ref="V31:AD31"/>
    <mergeCell ref="A27:D27"/>
    <mergeCell ref="V32:AD33"/>
    <mergeCell ref="E34:U35"/>
    <mergeCell ref="A34:D35"/>
    <mergeCell ref="V34:AD35"/>
    <mergeCell ref="AE34:AK35"/>
    <mergeCell ref="A29:D29"/>
    <mergeCell ref="E28:U28"/>
    <mergeCell ref="E31:U31"/>
    <mergeCell ref="AE27:AK27"/>
    <mergeCell ref="A31:D31"/>
    <mergeCell ref="A30:D30"/>
    <mergeCell ref="E29:U29"/>
    <mergeCell ref="E30:U30"/>
    <mergeCell ref="A28:D28"/>
    <mergeCell ref="V13:AD13"/>
    <mergeCell ref="V14:AD14"/>
    <mergeCell ref="V15:AD15"/>
    <mergeCell ref="V16:AD16"/>
    <mergeCell ref="V17:AD18"/>
    <mergeCell ref="AE9:AK9"/>
    <mergeCell ref="AE10:AK10"/>
    <mergeCell ref="AE11:AK11"/>
    <mergeCell ref="AE12:AK12"/>
    <mergeCell ref="AE13:AK13"/>
    <mergeCell ref="AE14:AK14"/>
    <mergeCell ref="AE15:AK15"/>
    <mergeCell ref="AE16:AK16"/>
    <mergeCell ref="AE17:AK18"/>
    <mergeCell ref="E21:U21"/>
    <mergeCell ref="E22:U22"/>
    <mergeCell ref="A20:D20"/>
    <mergeCell ref="E20:U20"/>
    <mergeCell ref="AE20:AK20"/>
    <mergeCell ref="V19:AD19"/>
    <mergeCell ref="V20:AD20"/>
    <mergeCell ref="V21:AD21"/>
    <mergeCell ref="V22:AD22"/>
    <mergeCell ref="P1:T2"/>
    <mergeCell ref="E26:U26"/>
    <mergeCell ref="E27:U27"/>
    <mergeCell ref="A32:D33"/>
    <mergeCell ref="E32:U33"/>
    <mergeCell ref="AP5:AS5"/>
    <mergeCell ref="AV5:AW5"/>
    <mergeCell ref="AP7:AS7"/>
    <mergeCell ref="AV7:AW7"/>
    <mergeCell ref="AP9:AS9"/>
    <mergeCell ref="AV9:AW9"/>
    <mergeCell ref="AP11:AS11"/>
    <mergeCell ref="AV11:AW11"/>
    <mergeCell ref="AP13:AT13"/>
    <mergeCell ref="AV13:AW13"/>
    <mergeCell ref="AP15:AS15"/>
    <mergeCell ref="AV15:AW15"/>
    <mergeCell ref="AE19:AK19"/>
    <mergeCell ref="AE21:AK21"/>
    <mergeCell ref="AE22:AK22"/>
    <mergeCell ref="A19:D19"/>
    <mergeCell ref="A21:D21"/>
    <mergeCell ref="A22:D22"/>
    <mergeCell ref="E19:U19"/>
  </mergeCells>
  <pageMargins left="0.76" right="0.44999999999999996" top="1.42" bottom="0" header="0.2" footer="0"/>
  <pageSetup orientation="portrait" scale="99" r:id="rId4"/>
  <headerFooter>
    <oddHeader xml:space="preserve">&amp;C 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" name="Button 1">
              <controlPr defaultSize="0" print="0" autoLine="0" autoPict="0">
                <macro>[0]!AnnexureIA_Button1_Click</macro>
                <anchor moveWithCells="1" sizeWithCells="1">
                  <from>
                    <xdr:col>42</xdr:col>
                    <xdr:colOff>142875</xdr:colOff>
                    <xdr:row>1</xdr:row>
                    <xdr:rowOff>38100</xdr:rowOff>
                  </from>
                  <to>
                    <xdr:col>49</xdr:col>
                    <xdr:colOff>0</xdr:colOff>
                    <xdr:row>2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851d1e-9e79-4cb6-8f0e-6ec63746ea36}">
  <sheetPr codeName="Sheet6"/>
  <dimension ref="A1:AW67"/>
  <sheetViews>
    <sheetView view="pageLayout" zoomScaleNormal="100" workbookViewId="0" topLeftCell="A37">
      <selection pane="topLeft" activeCell="A52" sqref="A52:M52"/>
    </sheetView>
  </sheetViews>
  <sheetFormatPr defaultColWidth="2.4242857142857144" defaultRowHeight="13.5" customHeight="1"/>
  <cols>
    <col min="1" max="16384" width="2.4285714285714284" style="37"/>
  </cols>
  <sheetData>
    <row r="1" spans="1:37" ht="13.5" customHeight="1">
      <c r="A1" s="65" t="str">
        <f>Certificate!A1</f>
        <v>C</v>
      </c>
      <c r="B1" s="65" t="str">
        <f>Certificate!B1</f>
        <v>A</v>
      </c>
      <c r="C1" s="65" t="str">
        <f>Certificate!C1</f>
        <v>N</v>
      </c>
      <c r="D1" s="65" t="str">
        <f>Certificate!D1</f>
        <v>F</v>
      </c>
      <c r="E1" s="106">
        <f>Certificate!E1</f>
        <v>4567</v>
      </c>
      <c r="F1" s="106"/>
      <c r="G1" s="106"/>
      <c r="H1" s="106">
        <f>Certificate!H1</f>
        <v>0</v>
      </c>
      <c r="I1" s="106"/>
      <c r="J1" s="106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34"/>
      <c r="AA1" s="164" t="s">
        <v>27</v>
      </c>
      <c r="AB1" s="164"/>
      <c r="AC1" s="99" t="s">
        <v>105</v>
      </c>
      <c r="AD1" s="99"/>
      <c r="AE1" s="99"/>
      <c r="AF1" s="99"/>
      <c r="AG1" s="99"/>
      <c r="AH1" s="99"/>
      <c r="AI1" s="99"/>
      <c r="AJ1" s="99"/>
      <c r="AK1" s="99"/>
    </row>
    <row r="2" spans="1:37" ht="13.5" customHeight="1">
      <c r="A2" s="156" t="str">
        <f>Certificate!K10</f>
        <v>M/s XXX Ltd.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4" t="s">
        <v>96</v>
      </c>
      <c r="Q2" s="154"/>
      <c r="R2" s="154"/>
      <c r="S2" s="154"/>
      <c r="T2" s="154"/>
      <c r="U2" s="155" t="str">
        <f>Certificate!B19</f>
        <v>XXXX</v>
      </c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37" ht="13.35" customHeight="1">
      <c r="A3" s="123" t="s">
        <v>79</v>
      </c>
      <c r="B3" s="123"/>
      <c r="C3" s="123"/>
      <c r="D3" s="123"/>
      <c r="E3" s="81" t="s">
        <v>100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 t="s">
        <v>103</v>
      </c>
      <c r="W3" s="81"/>
      <c r="X3" s="81"/>
      <c r="Y3" s="81"/>
      <c r="Z3" s="81"/>
      <c r="AA3" s="81"/>
      <c r="AB3" s="81"/>
      <c r="AC3" s="81"/>
      <c r="AD3" s="81"/>
      <c r="AE3" s="123" t="s">
        <v>104</v>
      </c>
      <c r="AF3" s="81"/>
      <c r="AG3" s="81"/>
      <c r="AH3" s="81"/>
      <c r="AI3" s="81"/>
      <c r="AJ3" s="81"/>
      <c r="AK3" s="81"/>
    </row>
    <row r="4" spans="1:37" ht="12.2" customHeight="1">
      <c r="A4" s="123"/>
      <c r="B4" s="123"/>
      <c r="C4" s="123"/>
      <c r="D4" s="123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</row>
    <row r="5" spans="1:49" ht="13.5" customHeight="1">
      <c r="A5" s="190" t="s">
        <v>310</v>
      </c>
      <c r="B5" s="190"/>
      <c r="C5" s="190"/>
      <c r="D5" s="190"/>
      <c r="E5" s="168" t="s">
        <v>94</v>
      </c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70"/>
      <c r="Q5" s="202" t="s">
        <v>311</v>
      </c>
      <c r="R5" s="169"/>
      <c r="S5" s="169"/>
      <c r="T5" s="169"/>
      <c r="U5" s="170"/>
      <c r="V5" s="190" t="s">
        <v>141</v>
      </c>
      <c r="W5" s="190"/>
      <c r="X5" s="190"/>
      <c r="Y5" s="190"/>
      <c r="Z5" s="190"/>
      <c r="AA5" s="190"/>
      <c r="AB5" s="190"/>
      <c r="AC5" s="190"/>
      <c r="AD5" s="190"/>
      <c r="AE5" s="70" t="s">
        <v>139</v>
      </c>
      <c r="AF5" s="70"/>
      <c r="AG5" s="70"/>
      <c r="AH5" s="70"/>
      <c r="AI5" s="70"/>
      <c r="AJ5" s="70"/>
      <c r="AK5" s="70"/>
      <c r="AP5" s="104" t="s">
        <v>353</v>
      </c>
      <c r="AQ5" s="104"/>
      <c r="AR5" s="104"/>
      <c r="AS5" s="104"/>
      <c r="AT5" s="24"/>
      <c r="AU5" s="24"/>
      <c r="AV5" s="104">
        <v>0.76000000000000001</v>
      </c>
      <c r="AW5" s="104"/>
    </row>
    <row r="6" spans="1:48" ht="13.5" customHeight="1">
      <c r="A6" s="89" t="s">
        <v>93</v>
      </c>
      <c r="B6" s="90"/>
      <c r="C6" s="90"/>
      <c r="D6" s="91"/>
      <c r="E6" s="168" t="s">
        <v>90</v>
      </c>
      <c r="F6" s="169"/>
      <c r="G6" s="169"/>
      <c r="H6" s="169"/>
      <c r="I6" s="169"/>
      <c r="J6" s="170"/>
      <c r="K6" s="70" t="s">
        <v>312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83" t="s">
        <v>161</v>
      </c>
      <c r="W6" s="84"/>
      <c r="X6" s="84"/>
      <c r="Y6" s="84"/>
      <c r="Z6" s="84"/>
      <c r="AA6" s="84"/>
      <c r="AB6" s="84"/>
      <c r="AC6" s="84"/>
      <c r="AD6" s="85"/>
      <c r="AE6" s="70" t="s">
        <v>128</v>
      </c>
      <c r="AF6" s="70"/>
      <c r="AG6" s="70"/>
      <c r="AH6" s="70"/>
      <c r="AI6" s="70"/>
      <c r="AJ6" s="70"/>
      <c r="AK6" s="70"/>
      <c r="AP6" s="24"/>
      <c r="AQ6" s="24"/>
      <c r="AR6" s="24"/>
      <c r="AS6" s="24"/>
      <c r="AT6" s="24"/>
      <c r="AU6" s="24"/>
      <c r="AV6" s="24"/>
    </row>
    <row r="7" spans="1:49" ht="12.2" customHeight="1">
      <c r="A7" s="305"/>
      <c r="B7" s="306"/>
      <c r="C7" s="306"/>
      <c r="D7" s="122"/>
      <c r="E7" s="227"/>
      <c r="F7" s="228"/>
      <c r="G7" s="228"/>
      <c r="H7" s="228"/>
      <c r="I7" s="228"/>
      <c r="J7" s="229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230"/>
      <c r="W7" s="231"/>
      <c r="X7" s="231"/>
      <c r="Y7" s="231"/>
      <c r="Z7" s="231"/>
      <c r="AA7" s="231"/>
      <c r="AB7" s="231"/>
      <c r="AC7" s="231"/>
      <c r="AD7" s="232"/>
      <c r="AE7" s="70"/>
      <c r="AF7" s="70"/>
      <c r="AG7" s="70"/>
      <c r="AH7" s="70"/>
      <c r="AI7" s="70"/>
      <c r="AJ7" s="70"/>
      <c r="AK7" s="70"/>
      <c r="AP7" s="157" t="s">
        <v>354</v>
      </c>
      <c r="AQ7" s="157"/>
      <c r="AR7" s="157"/>
      <c r="AS7" s="157"/>
      <c r="AT7" s="58"/>
      <c r="AU7" s="58"/>
      <c r="AV7" s="167">
        <v>0.45000000000000001</v>
      </c>
      <c r="AW7" s="167"/>
    </row>
    <row r="8" spans="1:48" ht="13.35" customHeight="1">
      <c r="A8" s="305"/>
      <c r="B8" s="306"/>
      <c r="C8" s="306"/>
      <c r="D8" s="122"/>
      <c r="E8" s="227"/>
      <c r="F8" s="228"/>
      <c r="G8" s="228"/>
      <c r="H8" s="228"/>
      <c r="I8" s="228"/>
      <c r="J8" s="229"/>
      <c r="K8" s="168" t="s">
        <v>370</v>
      </c>
      <c r="L8" s="169"/>
      <c r="M8" s="169"/>
      <c r="N8" s="169"/>
      <c r="O8" s="169"/>
      <c r="P8" s="169"/>
      <c r="Q8" s="169"/>
      <c r="R8" s="169"/>
      <c r="S8" s="169"/>
      <c r="T8" s="169"/>
      <c r="U8" s="170"/>
      <c r="V8" s="230"/>
      <c r="W8" s="231"/>
      <c r="X8" s="231"/>
      <c r="Y8" s="231"/>
      <c r="Z8" s="231"/>
      <c r="AA8" s="231"/>
      <c r="AB8" s="231"/>
      <c r="AC8" s="231"/>
      <c r="AD8" s="232"/>
      <c r="AE8" s="70" t="s">
        <v>129</v>
      </c>
      <c r="AF8" s="70"/>
      <c r="AG8" s="70"/>
      <c r="AH8" s="70"/>
      <c r="AI8" s="70"/>
      <c r="AJ8" s="70"/>
      <c r="AK8" s="70"/>
      <c r="AP8" s="58"/>
      <c r="AQ8" s="58"/>
      <c r="AR8" s="58"/>
      <c r="AS8" s="58"/>
      <c r="AT8" s="58"/>
      <c r="AU8" s="58"/>
      <c r="AV8" s="58"/>
    </row>
    <row r="9" spans="1:49" ht="13.35" customHeight="1">
      <c r="A9" s="305"/>
      <c r="B9" s="306"/>
      <c r="C9" s="306"/>
      <c r="D9" s="122"/>
      <c r="E9" s="227"/>
      <c r="F9" s="228"/>
      <c r="G9" s="228"/>
      <c r="H9" s="228"/>
      <c r="I9" s="228"/>
      <c r="J9" s="229"/>
      <c r="K9" s="227"/>
      <c r="L9" s="228"/>
      <c r="M9" s="228"/>
      <c r="N9" s="228"/>
      <c r="O9" s="228"/>
      <c r="P9" s="228"/>
      <c r="Q9" s="228"/>
      <c r="R9" s="228"/>
      <c r="S9" s="228"/>
      <c r="T9" s="228"/>
      <c r="U9" s="229"/>
      <c r="V9" s="230"/>
      <c r="W9" s="231"/>
      <c r="X9" s="231"/>
      <c r="Y9" s="231"/>
      <c r="Z9" s="231"/>
      <c r="AA9" s="231"/>
      <c r="AB9" s="231"/>
      <c r="AC9" s="231"/>
      <c r="AD9" s="232"/>
      <c r="AE9" s="70"/>
      <c r="AF9" s="70"/>
      <c r="AG9" s="70"/>
      <c r="AH9" s="70"/>
      <c r="AI9" s="70"/>
      <c r="AJ9" s="70"/>
      <c r="AK9" s="70"/>
      <c r="AP9" s="82" t="s">
        <v>355</v>
      </c>
      <c r="AQ9" s="82"/>
      <c r="AR9" s="82"/>
      <c r="AS9" s="82"/>
      <c r="AT9" s="58"/>
      <c r="AU9" s="58"/>
      <c r="AV9" s="167">
        <v>1.4199999999999999</v>
      </c>
      <c r="AW9" s="167"/>
    </row>
    <row r="10" spans="1:48" ht="13.5" customHeight="1">
      <c r="A10" s="305"/>
      <c r="B10" s="306"/>
      <c r="C10" s="306"/>
      <c r="D10" s="122"/>
      <c r="E10" s="227"/>
      <c r="F10" s="228"/>
      <c r="G10" s="228"/>
      <c r="H10" s="228"/>
      <c r="I10" s="228"/>
      <c r="J10" s="229"/>
      <c r="K10" s="227"/>
      <c r="L10" s="228"/>
      <c r="M10" s="228"/>
      <c r="N10" s="228"/>
      <c r="O10" s="228"/>
      <c r="P10" s="228"/>
      <c r="Q10" s="228"/>
      <c r="R10" s="228"/>
      <c r="S10" s="228"/>
      <c r="T10" s="228"/>
      <c r="U10" s="229"/>
      <c r="V10" s="230"/>
      <c r="W10" s="231"/>
      <c r="X10" s="231"/>
      <c r="Y10" s="231"/>
      <c r="Z10" s="231"/>
      <c r="AA10" s="231"/>
      <c r="AB10" s="231"/>
      <c r="AC10" s="231"/>
      <c r="AD10" s="232"/>
      <c r="AE10" s="70"/>
      <c r="AF10" s="70"/>
      <c r="AG10" s="70"/>
      <c r="AH10" s="70"/>
      <c r="AI10" s="70"/>
      <c r="AJ10" s="70"/>
      <c r="AK10" s="70"/>
      <c r="AP10" s="27"/>
      <c r="AQ10" s="27"/>
      <c r="AR10" s="26"/>
      <c r="AS10" s="26"/>
      <c r="AT10" s="26"/>
      <c r="AU10" s="26"/>
      <c r="AV10" s="26"/>
    </row>
    <row r="11" spans="1:49" ht="13.5" customHeight="1">
      <c r="A11" s="305"/>
      <c r="B11" s="306"/>
      <c r="C11" s="306"/>
      <c r="D11" s="122"/>
      <c r="E11" s="227"/>
      <c r="F11" s="228"/>
      <c r="G11" s="228"/>
      <c r="H11" s="228"/>
      <c r="I11" s="228"/>
      <c r="J11" s="229"/>
      <c r="K11" s="70" t="s">
        <v>313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230"/>
      <c r="W11" s="231"/>
      <c r="X11" s="231"/>
      <c r="Y11" s="231"/>
      <c r="Z11" s="231"/>
      <c r="AA11" s="231"/>
      <c r="AB11" s="231"/>
      <c r="AC11" s="231"/>
      <c r="AD11" s="232"/>
      <c r="AE11" s="70" t="s">
        <v>130</v>
      </c>
      <c r="AF11" s="70"/>
      <c r="AG11" s="70"/>
      <c r="AH11" s="70"/>
      <c r="AI11" s="70"/>
      <c r="AJ11" s="70"/>
      <c r="AK11" s="70"/>
      <c r="AP11" s="82" t="s">
        <v>356</v>
      </c>
      <c r="AQ11" s="82"/>
      <c r="AR11" s="82"/>
      <c r="AS11" s="82"/>
      <c r="AT11" s="26"/>
      <c r="AU11" s="26"/>
      <c r="AV11" s="145">
        <v>0</v>
      </c>
      <c r="AW11" s="147"/>
    </row>
    <row r="12" spans="1:48" ht="13.5" customHeight="1">
      <c r="A12" s="305"/>
      <c r="B12" s="306"/>
      <c r="C12" s="306"/>
      <c r="D12" s="122"/>
      <c r="E12" s="227"/>
      <c r="F12" s="228"/>
      <c r="G12" s="228"/>
      <c r="H12" s="228"/>
      <c r="I12" s="228"/>
      <c r="J12" s="229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230"/>
      <c r="W12" s="231"/>
      <c r="X12" s="231"/>
      <c r="Y12" s="231"/>
      <c r="Z12" s="231"/>
      <c r="AA12" s="231"/>
      <c r="AB12" s="231"/>
      <c r="AC12" s="231"/>
      <c r="AD12" s="232"/>
      <c r="AE12" s="70"/>
      <c r="AF12" s="70"/>
      <c r="AG12" s="70"/>
      <c r="AH12" s="70"/>
      <c r="AI12" s="70"/>
      <c r="AJ12" s="70"/>
      <c r="AK12" s="70"/>
      <c r="AP12" s="27"/>
      <c r="AQ12" s="27"/>
      <c r="AR12" s="27"/>
      <c r="AS12" s="27"/>
      <c r="AT12" s="27"/>
      <c r="AU12" s="27"/>
      <c r="AV12" s="27"/>
    </row>
    <row r="13" spans="1:49" ht="13.5" customHeight="1">
      <c r="A13" s="92"/>
      <c r="B13" s="93"/>
      <c r="C13" s="93"/>
      <c r="D13" s="94"/>
      <c r="E13" s="171"/>
      <c r="F13" s="172"/>
      <c r="G13" s="172"/>
      <c r="H13" s="172"/>
      <c r="I13" s="172"/>
      <c r="J13" s="173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86"/>
      <c r="W13" s="87"/>
      <c r="X13" s="87"/>
      <c r="Y13" s="87"/>
      <c r="Z13" s="87"/>
      <c r="AA13" s="87"/>
      <c r="AB13" s="87"/>
      <c r="AC13" s="87"/>
      <c r="AD13" s="88"/>
      <c r="AE13" s="70"/>
      <c r="AF13" s="70"/>
      <c r="AG13" s="70"/>
      <c r="AH13" s="70"/>
      <c r="AI13" s="70"/>
      <c r="AJ13" s="70"/>
      <c r="AK13" s="70"/>
      <c r="AP13" s="82" t="s">
        <v>357</v>
      </c>
      <c r="AQ13" s="82"/>
      <c r="AR13" s="82"/>
      <c r="AS13" s="82"/>
      <c r="AT13" s="82"/>
      <c r="AU13" s="27"/>
      <c r="AV13" s="158">
        <v>0.20000000000000001</v>
      </c>
      <c r="AW13" s="159"/>
    </row>
    <row r="14" spans="1:48" ht="13.5" customHeight="1">
      <c r="A14" s="192" t="s">
        <v>80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P14" s="27"/>
      <c r="AQ14" s="27"/>
      <c r="AR14" s="27"/>
      <c r="AS14" s="27"/>
      <c r="AT14" s="27"/>
      <c r="AU14" s="27"/>
      <c r="AV14" s="27"/>
    </row>
    <row r="15" spans="1:49" ht="13.5" customHeight="1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P15" s="157" t="s">
        <v>359</v>
      </c>
      <c r="AQ15" s="157"/>
      <c r="AR15" s="157"/>
      <c r="AS15" s="157"/>
      <c r="AT15" s="58"/>
      <c r="AU15" s="58"/>
      <c r="AV15" s="158">
        <v>0</v>
      </c>
      <c r="AW15" s="159"/>
    </row>
    <row r="16" spans="1:37" ht="13.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34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1:37" ht="14.25" customHeight="1">
      <c r="A17" s="304" t="s">
        <v>95</v>
      </c>
      <c r="B17" s="304"/>
      <c r="C17" s="304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</row>
    <row r="18" spans="1:37" ht="13.5" customHeight="1">
      <c r="A18" s="298" t="s">
        <v>18</v>
      </c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300"/>
      <c r="O18" s="298" t="s">
        <v>19</v>
      </c>
      <c r="P18" s="299"/>
      <c r="Q18" s="299"/>
      <c r="R18" s="299"/>
      <c r="S18" s="300"/>
      <c r="T18" s="298" t="s">
        <v>2</v>
      </c>
      <c r="U18" s="299"/>
      <c r="V18" s="299"/>
      <c r="W18" s="299"/>
      <c r="X18" s="300"/>
      <c r="Y18" s="298" t="s">
        <v>1</v>
      </c>
      <c r="Z18" s="299"/>
      <c r="AA18" s="299"/>
      <c r="AB18" s="299"/>
      <c r="AC18" s="300"/>
      <c r="AD18" s="298" t="s">
        <v>20</v>
      </c>
      <c r="AE18" s="299"/>
      <c r="AF18" s="299"/>
      <c r="AG18" s="299"/>
      <c r="AH18" s="299"/>
      <c r="AI18" s="299"/>
      <c r="AJ18" s="299"/>
      <c r="AK18" s="300"/>
    </row>
    <row r="19" spans="1:37" ht="13.5" customHeight="1">
      <c r="A19" s="114" t="s">
        <v>127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45" t="s">
        <v>32</v>
      </c>
      <c r="P19" s="146"/>
      <c r="Q19" s="146"/>
      <c r="R19" s="146"/>
      <c r="S19" s="147"/>
      <c r="T19" s="145" t="s">
        <v>33</v>
      </c>
      <c r="U19" s="146"/>
      <c r="V19" s="146"/>
      <c r="W19" s="146"/>
      <c r="X19" s="147"/>
      <c r="Y19" s="145" t="s">
        <v>34</v>
      </c>
      <c r="Z19" s="146"/>
      <c r="AA19" s="146"/>
      <c r="AB19" s="146"/>
      <c r="AC19" s="147"/>
      <c r="AD19" s="145" t="s">
        <v>31</v>
      </c>
      <c r="AE19" s="146"/>
      <c r="AF19" s="146"/>
      <c r="AG19" s="146"/>
      <c r="AH19" s="146"/>
      <c r="AI19" s="146"/>
      <c r="AJ19" s="146"/>
      <c r="AK19" s="147"/>
    </row>
    <row r="20" spans="1:37" ht="13.5" customHeight="1">
      <c r="A20" s="307" t="s">
        <v>314</v>
      </c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9"/>
      <c r="O20" s="145" t="s">
        <v>315</v>
      </c>
      <c r="P20" s="146"/>
      <c r="Q20" s="146"/>
      <c r="R20" s="146"/>
      <c r="S20" s="147"/>
      <c r="T20" s="145" t="s">
        <v>316</v>
      </c>
      <c r="U20" s="146"/>
      <c r="V20" s="146"/>
      <c r="W20" s="146"/>
      <c r="X20" s="147"/>
      <c r="Y20" s="145" t="s">
        <v>172</v>
      </c>
      <c r="Z20" s="146"/>
      <c r="AA20" s="146"/>
      <c r="AB20" s="146"/>
      <c r="AC20" s="147"/>
      <c r="AD20" s="89" t="s">
        <v>317</v>
      </c>
      <c r="AE20" s="90"/>
      <c r="AF20" s="90"/>
      <c r="AG20" s="90"/>
      <c r="AH20" s="90"/>
      <c r="AI20" s="90"/>
      <c r="AJ20" s="90"/>
      <c r="AK20" s="91"/>
    </row>
    <row r="21" spans="1:37" ht="13.5" customHeight="1">
      <c r="A21" s="310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2"/>
      <c r="O21" s="145" t="s">
        <v>318</v>
      </c>
      <c r="P21" s="146"/>
      <c r="Q21" s="146"/>
      <c r="R21" s="146"/>
      <c r="S21" s="147"/>
      <c r="T21" s="145" t="s">
        <v>319</v>
      </c>
      <c r="U21" s="146"/>
      <c r="V21" s="146"/>
      <c r="W21" s="146"/>
      <c r="X21" s="147"/>
      <c r="Y21" s="145" t="s">
        <v>320</v>
      </c>
      <c r="Z21" s="146"/>
      <c r="AA21" s="146"/>
      <c r="AB21" s="146"/>
      <c r="AC21" s="147"/>
      <c r="AD21" s="92"/>
      <c r="AE21" s="93"/>
      <c r="AF21" s="93"/>
      <c r="AG21" s="93"/>
      <c r="AH21" s="93"/>
      <c r="AI21" s="93"/>
      <c r="AJ21" s="93"/>
      <c r="AK21" s="94"/>
    </row>
    <row r="22" spans="1:37" ht="13.5" customHeight="1">
      <c r="A22" s="64" t="s">
        <v>321</v>
      </c>
      <c r="B22" s="52"/>
      <c r="C22" s="52"/>
      <c r="D22" s="52"/>
      <c r="E22" s="52"/>
      <c r="F22" s="52"/>
      <c r="G22" s="52"/>
      <c r="H22" s="52"/>
      <c r="I22" s="52"/>
      <c r="J22" s="63"/>
      <c r="K22" s="52"/>
      <c r="L22" s="52"/>
      <c r="M22" s="52"/>
      <c r="N22" s="53"/>
      <c r="O22" s="301" t="s">
        <v>322</v>
      </c>
      <c r="P22" s="302"/>
      <c r="Q22" s="302"/>
      <c r="R22" s="302"/>
      <c r="S22" s="303"/>
      <c r="T22" s="301" t="s">
        <v>323</v>
      </c>
      <c r="U22" s="302"/>
      <c r="V22" s="302"/>
      <c r="W22" s="302"/>
      <c r="X22" s="303"/>
      <c r="Y22" s="301" t="s">
        <v>323</v>
      </c>
      <c r="Z22" s="302"/>
      <c r="AA22" s="302"/>
      <c r="AB22" s="302"/>
      <c r="AC22" s="303"/>
      <c r="AD22" s="301" t="s">
        <v>324</v>
      </c>
      <c r="AE22" s="302"/>
      <c r="AF22" s="302"/>
      <c r="AG22" s="302"/>
      <c r="AH22" s="302"/>
      <c r="AI22" s="302"/>
      <c r="AJ22" s="302"/>
      <c r="AK22" s="303"/>
    </row>
    <row r="23" spans="1:37" ht="13.5" customHeight="1">
      <c r="A23" s="82" t="s">
        <v>329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104" t="s">
        <v>143</v>
      </c>
      <c r="P23" s="104"/>
      <c r="Q23" s="104"/>
      <c r="R23" s="104"/>
      <c r="S23" s="104"/>
      <c r="T23" s="104" t="s">
        <v>36</v>
      </c>
      <c r="U23" s="104"/>
      <c r="V23" s="104"/>
      <c r="W23" s="104"/>
      <c r="X23" s="104"/>
      <c r="Y23" s="104" t="s">
        <v>53</v>
      </c>
      <c r="Z23" s="104"/>
      <c r="AA23" s="104"/>
      <c r="AB23" s="104"/>
      <c r="AC23" s="104"/>
      <c r="AD23" s="82" t="s">
        <v>45</v>
      </c>
      <c r="AE23" s="82"/>
      <c r="AF23" s="82"/>
      <c r="AG23" s="82"/>
      <c r="AH23" s="82"/>
      <c r="AI23" s="82"/>
      <c r="AJ23" s="82"/>
      <c r="AK23" s="82"/>
    </row>
    <row r="24" spans="1:37" ht="13.5" customHeight="1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04" t="s">
        <v>35</v>
      </c>
      <c r="P24" s="104"/>
      <c r="Q24" s="104"/>
      <c r="R24" s="104"/>
      <c r="S24" s="104"/>
      <c r="T24" s="104" t="s">
        <v>37</v>
      </c>
      <c r="U24" s="104"/>
      <c r="V24" s="104"/>
      <c r="W24" s="104"/>
      <c r="X24" s="104"/>
      <c r="Y24" s="104"/>
      <c r="Z24" s="104"/>
      <c r="AA24" s="104"/>
      <c r="AB24" s="104"/>
      <c r="AC24" s="104"/>
      <c r="AD24" s="82"/>
      <c r="AE24" s="82"/>
      <c r="AF24" s="82"/>
      <c r="AG24" s="82"/>
      <c r="AH24" s="82"/>
      <c r="AI24" s="82"/>
      <c r="AJ24" s="82"/>
      <c r="AK24" s="82"/>
    </row>
    <row r="25" spans="1:37" ht="13.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104" t="s">
        <v>136</v>
      </c>
      <c r="P25" s="104"/>
      <c r="Q25" s="104"/>
      <c r="R25" s="104"/>
      <c r="S25" s="104"/>
      <c r="T25" s="104" t="s">
        <v>38</v>
      </c>
      <c r="U25" s="104"/>
      <c r="V25" s="104"/>
      <c r="W25" s="104"/>
      <c r="X25" s="104"/>
      <c r="Y25" s="104"/>
      <c r="Z25" s="104"/>
      <c r="AA25" s="104"/>
      <c r="AB25" s="104"/>
      <c r="AC25" s="104"/>
      <c r="AD25" s="82"/>
      <c r="AE25" s="82"/>
      <c r="AF25" s="82"/>
      <c r="AG25" s="82"/>
      <c r="AH25" s="82"/>
      <c r="AI25" s="82"/>
      <c r="AJ25" s="82"/>
      <c r="AK25" s="82"/>
    </row>
    <row r="26" spans="1:37" ht="13.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104" t="s">
        <v>39</v>
      </c>
      <c r="P26" s="104"/>
      <c r="Q26" s="104"/>
      <c r="R26" s="104"/>
      <c r="S26" s="104"/>
      <c r="T26" s="104" t="s">
        <v>21</v>
      </c>
      <c r="U26" s="104"/>
      <c r="V26" s="104"/>
      <c r="W26" s="104"/>
      <c r="X26" s="104"/>
      <c r="Y26" s="104"/>
      <c r="Z26" s="104"/>
      <c r="AA26" s="104"/>
      <c r="AB26" s="104"/>
      <c r="AC26" s="104"/>
      <c r="AD26" s="82"/>
      <c r="AE26" s="82"/>
      <c r="AF26" s="82"/>
      <c r="AG26" s="82"/>
      <c r="AH26" s="82"/>
      <c r="AI26" s="82"/>
      <c r="AJ26" s="82"/>
      <c r="AK26" s="82"/>
    </row>
    <row r="27" spans="1:37" ht="13.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104" t="s">
        <v>325</v>
      </c>
      <c r="P27" s="104"/>
      <c r="Q27" s="104"/>
      <c r="R27" s="104"/>
      <c r="S27" s="104"/>
      <c r="T27" s="104" t="s">
        <v>326</v>
      </c>
      <c r="U27" s="104"/>
      <c r="V27" s="104"/>
      <c r="W27" s="104"/>
      <c r="X27" s="104"/>
      <c r="Y27" s="104"/>
      <c r="Z27" s="104"/>
      <c r="AA27" s="104"/>
      <c r="AB27" s="104"/>
      <c r="AC27" s="104"/>
      <c r="AD27" s="82"/>
      <c r="AE27" s="82"/>
      <c r="AF27" s="82"/>
      <c r="AG27" s="82"/>
      <c r="AH27" s="82"/>
      <c r="AI27" s="82"/>
      <c r="AJ27" s="82"/>
      <c r="AK27" s="82"/>
    </row>
    <row r="28" spans="1:37" ht="13.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104" t="s">
        <v>137</v>
      </c>
      <c r="P28" s="104"/>
      <c r="Q28" s="104"/>
      <c r="R28" s="104"/>
      <c r="S28" s="104"/>
      <c r="T28" s="104" t="s">
        <v>40</v>
      </c>
      <c r="U28" s="104"/>
      <c r="V28" s="104"/>
      <c r="W28" s="104"/>
      <c r="X28" s="104"/>
      <c r="Y28" s="104"/>
      <c r="Z28" s="104"/>
      <c r="AA28" s="104"/>
      <c r="AB28" s="104"/>
      <c r="AC28" s="104"/>
      <c r="AD28" s="82"/>
      <c r="AE28" s="82"/>
      <c r="AF28" s="82"/>
      <c r="AG28" s="82"/>
      <c r="AH28" s="82"/>
      <c r="AI28" s="82"/>
      <c r="AJ28" s="82"/>
      <c r="AK28" s="82"/>
    </row>
    <row r="29" spans="1:37" ht="13.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104" t="s">
        <v>41</v>
      </c>
      <c r="P29" s="104"/>
      <c r="Q29" s="104"/>
      <c r="R29" s="104"/>
      <c r="S29" s="104"/>
      <c r="T29" s="104" t="s">
        <v>42</v>
      </c>
      <c r="U29" s="104"/>
      <c r="V29" s="104"/>
      <c r="W29" s="104"/>
      <c r="X29" s="104"/>
      <c r="Y29" s="104"/>
      <c r="Z29" s="104"/>
      <c r="AA29" s="104"/>
      <c r="AB29" s="104"/>
      <c r="AC29" s="104"/>
      <c r="AD29" s="82"/>
      <c r="AE29" s="82"/>
      <c r="AF29" s="82"/>
      <c r="AG29" s="82"/>
      <c r="AH29" s="82"/>
      <c r="AI29" s="82"/>
      <c r="AJ29" s="82"/>
      <c r="AK29" s="82"/>
    </row>
    <row r="30" spans="1:37" ht="13.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104" t="s">
        <v>327</v>
      </c>
      <c r="P30" s="104"/>
      <c r="Q30" s="104"/>
      <c r="R30" s="104"/>
      <c r="S30" s="104"/>
      <c r="T30" s="104" t="s">
        <v>328</v>
      </c>
      <c r="U30" s="104"/>
      <c r="V30" s="104"/>
      <c r="W30" s="104"/>
      <c r="X30" s="104"/>
      <c r="Y30" s="104"/>
      <c r="Z30" s="104"/>
      <c r="AA30" s="104"/>
      <c r="AB30" s="104"/>
      <c r="AC30" s="104"/>
      <c r="AD30" s="82"/>
      <c r="AE30" s="82"/>
      <c r="AF30" s="82"/>
      <c r="AG30" s="82"/>
      <c r="AH30" s="82"/>
      <c r="AI30" s="82"/>
      <c r="AJ30" s="82"/>
      <c r="AK30" s="82"/>
    </row>
    <row r="31" spans="1:37" ht="13.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295" t="s">
        <v>330</v>
      </c>
      <c r="P31" s="295"/>
      <c r="Q31" s="295"/>
      <c r="R31" s="295"/>
      <c r="S31" s="295"/>
      <c r="T31" s="295" t="s">
        <v>332</v>
      </c>
      <c r="U31" s="295"/>
      <c r="V31" s="295"/>
      <c r="W31" s="295"/>
      <c r="X31" s="295"/>
      <c r="Y31" s="104"/>
      <c r="Z31" s="104"/>
      <c r="AA31" s="104"/>
      <c r="AB31" s="104"/>
      <c r="AC31" s="104"/>
      <c r="AD31" s="82"/>
      <c r="AE31" s="82"/>
      <c r="AF31" s="82"/>
      <c r="AG31" s="82"/>
      <c r="AH31" s="82"/>
      <c r="AI31" s="82"/>
      <c r="AJ31" s="82"/>
      <c r="AK31" s="82"/>
    </row>
    <row r="32" spans="1:37" ht="13.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295" t="s">
        <v>331</v>
      </c>
      <c r="P32" s="295"/>
      <c r="Q32" s="295"/>
      <c r="R32" s="295"/>
      <c r="S32" s="295"/>
      <c r="T32" s="295" t="s">
        <v>333</v>
      </c>
      <c r="U32" s="295"/>
      <c r="V32" s="295"/>
      <c r="W32" s="295"/>
      <c r="X32" s="295"/>
      <c r="Y32" s="104"/>
      <c r="Z32" s="104"/>
      <c r="AA32" s="104"/>
      <c r="AB32" s="104"/>
      <c r="AC32" s="104"/>
      <c r="AD32" s="82"/>
      <c r="AE32" s="82"/>
      <c r="AF32" s="82"/>
      <c r="AG32" s="82"/>
      <c r="AH32" s="82"/>
      <c r="AI32" s="82"/>
      <c r="AJ32" s="82"/>
      <c r="AK32" s="82"/>
    </row>
    <row r="33" spans="1:37" ht="13.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104" t="s">
        <v>138</v>
      </c>
      <c r="P33" s="104"/>
      <c r="Q33" s="104"/>
      <c r="R33" s="104"/>
      <c r="S33" s="104"/>
      <c r="T33" s="104" t="s">
        <v>43</v>
      </c>
      <c r="U33" s="104"/>
      <c r="V33" s="104"/>
      <c r="W33" s="104"/>
      <c r="X33" s="104"/>
      <c r="Y33" s="104"/>
      <c r="Z33" s="104"/>
      <c r="AA33" s="104"/>
      <c r="AB33" s="104"/>
      <c r="AC33" s="104"/>
      <c r="AD33" s="82"/>
      <c r="AE33" s="82"/>
      <c r="AF33" s="82"/>
      <c r="AG33" s="82"/>
      <c r="AH33" s="82"/>
      <c r="AI33" s="82"/>
      <c r="AJ33" s="82"/>
      <c r="AK33" s="82"/>
    </row>
    <row r="34" spans="1:37" ht="13.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295" t="s">
        <v>341</v>
      </c>
      <c r="P34" s="295"/>
      <c r="Q34" s="295"/>
      <c r="R34" s="295"/>
      <c r="S34" s="295"/>
      <c r="T34" s="295" t="s">
        <v>342</v>
      </c>
      <c r="U34" s="295"/>
      <c r="V34" s="295"/>
      <c r="W34" s="295"/>
      <c r="X34" s="295"/>
      <c r="Y34" s="104"/>
      <c r="Z34" s="104"/>
      <c r="AA34" s="104"/>
      <c r="AB34" s="104"/>
      <c r="AC34" s="104"/>
      <c r="AD34" s="82"/>
      <c r="AE34" s="82"/>
      <c r="AF34" s="82"/>
      <c r="AG34" s="82"/>
      <c r="AH34" s="82"/>
      <c r="AI34" s="82"/>
      <c r="AJ34" s="82"/>
      <c r="AK34" s="82"/>
    </row>
    <row r="35" spans="1:37" ht="13.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297" t="s">
        <v>334</v>
      </c>
      <c r="P35" s="297"/>
      <c r="Q35" s="297"/>
      <c r="R35" s="297"/>
      <c r="S35" s="297"/>
      <c r="T35" s="297" t="s">
        <v>335</v>
      </c>
      <c r="U35" s="297"/>
      <c r="V35" s="297"/>
      <c r="W35" s="297"/>
      <c r="X35" s="297"/>
      <c r="Y35" s="104"/>
      <c r="Z35" s="104"/>
      <c r="AA35" s="104"/>
      <c r="AB35" s="104"/>
      <c r="AC35" s="104"/>
      <c r="AD35" s="82"/>
      <c r="AE35" s="82"/>
      <c r="AF35" s="82"/>
      <c r="AG35" s="82"/>
      <c r="AH35" s="82"/>
      <c r="AI35" s="82"/>
      <c r="AJ35" s="82"/>
      <c r="AK35" s="82"/>
    </row>
    <row r="36" spans="1:37" ht="13.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297" t="s">
        <v>343</v>
      </c>
      <c r="P36" s="297"/>
      <c r="Q36" s="297"/>
      <c r="R36" s="297"/>
      <c r="S36" s="297"/>
      <c r="T36" s="297" t="s">
        <v>344</v>
      </c>
      <c r="U36" s="297"/>
      <c r="V36" s="297"/>
      <c r="W36" s="297"/>
      <c r="X36" s="297"/>
      <c r="Y36" s="104"/>
      <c r="Z36" s="104"/>
      <c r="AA36" s="104"/>
      <c r="AB36" s="104"/>
      <c r="AC36" s="104"/>
      <c r="AD36" s="82"/>
      <c r="AE36" s="82"/>
      <c r="AF36" s="82"/>
      <c r="AG36" s="82"/>
      <c r="AH36" s="82"/>
      <c r="AI36" s="82"/>
      <c r="AJ36" s="82"/>
      <c r="AK36" s="82"/>
    </row>
    <row r="37" spans="1:37" ht="13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295" t="s">
        <v>336</v>
      </c>
      <c r="P37" s="295"/>
      <c r="Q37" s="295"/>
      <c r="R37" s="295"/>
      <c r="S37" s="295"/>
      <c r="T37" s="295" t="s">
        <v>337</v>
      </c>
      <c r="U37" s="295"/>
      <c r="V37" s="295"/>
      <c r="W37" s="295"/>
      <c r="X37" s="295"/>
      <c r="Y37" s="104"/>
      <c r="Z37" s="104"/>
      <c r="AA37" s="104"/>
      <c r="AB37" s="104"/>
      <c r="AC37" s="104"/>
      <c r="AD37" s="82"/>
      <c r="AE37" s="82"/>
      <c r="AF37" s="82"/>
      <c r="AG37" s="82"/>
      <c r="AH37" s="82"/>
      <c r="AI37" s="82"/>
      <c r="AJ37" s="82"/>
      <c r="AK37" s="82"/>
    </row>
    <row r="38" spans="1:37" ht="13.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297" t="s">
        <v>338</v>
      </c>
      <c r="P38" s="297"/>
      <c r="Q38" s="297"/>
      <c r="R38" s="297"/>
      <c r="S38" s="297"/>
      <c r="T38" s="297" t="s">
        <v>319</v>
      </c>
      <c r="U38" s="297"/>
      <c r="V38" s="297"/>
      <c r="W38" s="297"/>
      <c r="X38" s="297"/>
      <c r="Y38" s="104"/>
      <c r="Z38" s="104"/>
      <c r="AA38" s="104"/>
      <c r="AB38" s="104"/>
      <c r="AC38" s="104"/>
      <c r="AD38" s="82"/>
      <c r="AE38" s="82"/>
      <c r="AF38" s="82"/>
      <c r="AG38" s="82"/>
      <c r="AH38" s="82"/>
      <c r="AI38" s="82"/>
      <c r="AJ38" s="82"/>
      <c r="AK38" s="82"/>
    </row>
    <row r="39" spans="1:37" ht="13.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297" t="s">
        <v>339</v>
      </c>
      <c r="P39" s="297"/>
      <c r="Q39" s="297"/>
      <c r="R39" s="297"/>
      <c r="S39" s="297"/>
      <c r="T39" s="297" t="s">
        <v>340</v>
      </c>
      <c r="U39" s="297"/>
      <c r="V39" s="297"/>
      <c r="W39" s="297"/>
      <c r="X39" s="297"/>
      <c r="Y39" s="104"/>
      <c r="Z39" s="104"/>
      <c r="AA39" s="104"/>
      <c r="AB39" s="104"/>
      <c r="AC39" s="104"/>
      <c r="AD39" s="82"/>
      <c r="AE39" s="82"/>
      <c r="AF39" s="82"/>
      <c r="AG39" s="82"/>
      <c r="AH39" s="82"/>
      <c r="AI39" s="82"/>
      <c r="AJ39" s="82"/>
      <c r="AK39" s="82"/>
    </row>
    <row r="40" spans="1:37" ht="13.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295" t="s">
        <v>360</v>
      </c>
      <c r="P40" s="295"/>
      <c r="Q40" s="295"/>
      <c r="R40" s="295"/>
      <c r="S40" s="295"/>
      <c r="T40" s="295" t="s">
        <v>361</v>
      </c>
      <c r="U40" s="295"/>
      <c r="V40" s="295"/>
      <c r="W40" s="295"/>
      <c r="X40" s="295"/>
      <c r="Y40" s="104"/>
      <c r="Z40" s="104"/>
      <c r="AA40" s="104"/>
      <c r="AB40" s="104"/>
      <c r="AC40" s="104"/>
      <c r="AD40" s="82"/>
      <c r="AE40" s="82"/>
      <c r="AF40" s="82"/>
      <c r="AG40" s="82"/>
      <c r="AH40" s="82"/>
      <c r="AI40" s="82"/>
      <c r="AJ40" s="82"/>
      <c r="AK40" s="82"/>
    </row>
    <row r="41" spans="1:37" ht="13.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295" t="s">
        <v>134</v>
      </c>
      <c r="P41" s="295"/>
      <c r="Q41" s="295"/>
      <c r="R41" s="295"/>
      <c r="S41" s="295"/>
      <c r="T41" s="295" t="s">
        <v>139</v>
      </c>
      <c r="U41" s="295"/>
      <c r="V41" s="295"/>
      <c r="W41" s="295"/>
      <c r="X41" s="295"/>
      <c r="Y41" s="104"/>
      <c r="Z41" s="104"/>
      <c r="AA41" s="104"/>
      <c r="AB41" s="104"/>
      <c r="AC41" s="104"/>
      <c r="AD41" s="82"/>
      <c r="AE41" s="82"/>
      <c r="AF41" s="82"/>
      <c r="AG41" s="82"/>
      <c r="AH41" s="82"/>
      <c r="AI41" s="82"/>
      <c r="AJ41" s="82"/>
      <c r="AK41" s="82"/>
    </row>
    <row r="42" spans="1:37" ht="13.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295" t="s">
        <v>135</v>
      </c>
      <c r="P42" s="295"/>
      <c r="Q42" s="295"/>
      <c r="R42" s="295"/>
      <c r="S42" s="295"/>
      <c r="T42" s="295" t="s">
        <v>139</v>
      </c>
      <c r="U42" s="295"/>
      <c r="V42" s="295"/>
      <c r="W42" s="295"/>
      <c r="X42" s="295"/>
      <c r="Y42" s="104"/>
      <c r="Z42" s="104"/>
      <c r="AA42" s="104"/>
      <c r="AB42" s="104"/>
      <c r="AC42" s="104"/>
      <c r="AD42" s="82"/>
      <c r="AE42" s="82"/>
      <c r="AF42" s="82"/>
      <c r="AG42" s="82"/>
      <c r="AH42" s="82"/>
      <c r="AI42" s="82"/>
      <c r="AJ42" s="82"/>
      <c r="AK42" s="82"/>
    </row>
    <row r="44" spans="1:37" ht="13.5" customHeight="1">
      <c r="A44" s="35"/>
      <c r="B44" s="35"/>
      <c r="C44" s="35"/>
      <c r="D44" s="35"/>
      <c r="E44" s="35"/>
      <c r="F44" s="35"/>
      <c r="G44" s="35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5"/>
      <c r="S44" s="35"/>
      <c r="T44" s="35"/>
      <c r="U44" s="35"/>
      <c r="V44" s="35"/>
      <c r="W44" s="35"/>
      <c r="X44" s="35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spans="1:37" ht="13.5" customHeight="1">
      <c r="A45" s="105" t="s">
        <v>115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6"/>
      <c r="AJ45" s="106"/>
      <c r="AK45" s="106"/>
    </row>
    <row r="46" spans="1:37" ht="13.5" customHeight="1">
      <c r="A46" s="160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2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</row>
    <row r="47" spans="1:37" ht="13.5" customHeight="1">
      <c r="A47" s="163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5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</row>
    <row r="48" spans="1:37" ht="13.5" customHeight="1">
      <c r="A48" s="163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5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</row>
    <row r="49" spans="1:37" ht="13.5" customHeight="1">
      <c r="A49" s="163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5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</row>
    <row r="50" spans="1:37" ht="13.5" customHeight="1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06"/>
      <c r="O50" s="106"/>
      <c r="P50" s="106"/>
      <c r="Q50" s="106"/>
      <c r="R50" s="106"/>
      <c r="S50" s="106"/>
      <c r="T50" s="10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</row>
    <row r="51" spans="1:37" ht="13.5" customHeight="1">
      <c r="A51" s="160" t="s">
        <v>371</v>
      </c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2"/>
      <c r="N51" s="113"/>
      <c r="O51" s="106"/>
      <c r="P51" s="106"/>
      <c r="Q51" s="106"/>
      <c r="R51" s="106"/>
      <c r="S51" s="106"/>
      <c r="T51" s="111"/>
      <c r="U51" s="160" t="s">
        <v>22</v>
      </c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83" t="s">
        <v>309</v>
      </c>
      <c r="AJ51" s="84"/>
      <c r="AK51" s="85"/>
    </row>
    <row r="52" spans="1:37" ht="13.5" customHeight="1">
      <c r="A52" s="136" t="s">
        <v>372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66"/>
      <c r="N52" s="113"/>
      <c r="O52" s="106"/>
      <c r="P52" s="106"/>
      <c r="Q52" s="106"/>
      <c r="R52" s="106"/>
      <c r="S52" s="106"/>
      <c r="T52" s="111"/>
      <c r="U52" s="136" t="s">
        <v>23</v>
      </c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92">
        <v>6</v>
      </c>
      <c r="AJ52" s="93"/>
      <c r="AK52" s="94"/>
    </row>
    <row r="53" spans="1:30" ht="13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ht="13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ht="13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ht="13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ht="13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ht="13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ht="13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ht="13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ht="13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ht="13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ht="13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ht="13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ht="13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</sheetData>
  <mergeCells count="115">
    <mergeCell ref="O28:S28"/>
    <mergeCell ref="AI52:AK52"/>
    <mergeCell ref="A45:AH45"/>
    <mergeCell ref="AI45:AK50"/>
    <mergeCell ref="U46:AH50"/>
    <mergeCell ref="U51:AH51"/>
    <mergeCell ref="U52:AH52"/>
    <mergeCell ref="N46:T52"/>
    <mergeCell ref="A46:M50"/>
    <mergeCell ref="A51:M51"/>
    <mergeCell ref="A52:M52"/>
    <mergeCell ref="AE3:AK4"/>
    <mergeCell ref="A5:D5"/>
    <mergeCell ref="AE5:AK5"/>
    <mergeCell ref="Q5:U5"/>
    <mergeCell ref="V5:AD5"/>
    <mergeCell ref="A14:AK15"/>
    <mergeCell ref="K8:U10"/>
    <mergeCell ref="AI51:AK51"/>
    <mergeCell ref="O35:S35"/>
    <mergeCell ref="O32:S32"/>
    <mergeCell ref="O37:S37"/>
    <mergeCell ref="O33:S33"/>
    <mergeCell ref="O20:S20"/>
    <mergeCell ref="A20:N21"/>
    <mergeCell ref="O21:S21"/>
    <mergeCell ref="O27:S27"/>
    <mergeCell ref="O25:S25"/>
    <mergeCell ref="O23:S23"/>
    <mergeCell ref="T24:X24"/>
    <mergeCell ref="O29:S29"/>
    <mergeCell ref="T29:X29"/>
    <mergeCell ref="T23:X23"/>
    <mergeCell ref="O24:S24"/>
    <mergeCell ref="O26:S26"/>
    <mergeCell ref="E1:G1"/>
    <mergeCell ref="H1:J1"/>
    <mergeCell ref="A18:N18"/>
    <mergeCell ref="A6:D13"/>
    <mergeCell ref="K11:U13"/>
    <mergeCell ref="A19:N19"/>
    <mergeCell ref="O19:S19"/>
    <mergeCell ref="Y21:AC21"/>
    <mergeCell ref="P2:T2"/>
    <mergeCell ref="K6:U7"/>
    <mergeCell ref="V6:AD13"/>
    <mergeCell ref="E5:P5"/>
    <mergeCell ref="O22:S22"/>
    <mergeCell ref="T22:X22"/>
    <mergeCell ref="Y22:AC22"/>
    <mergeCell ref="AD22:AK22"/>
    <mergeCell ref="A17:AK17"/>
    <mergeCell ref="O18:S18"/>
    <mergeCell ref="T18:X18"/>
    <mergeCell ref="E6:J13"/>
    <mergeCell ref="AE6:AK7"/>
    <mergeCell ref="AC1:AK1"/>
    <mergeCell ref="T25:X25"/>
    <mergeCell ref="T41:X41"/>
    <mergeCell ref="T26:X26"/>
    <mergeCell ref="Y18:AC18"/>
    <mergeCell ref="AD18:AK18"/>
    <mergeCell ref="T19:X19"/>
    <mergeCell ref="Y19:AC19"/>
    <mergeCell ref="AD19:AK19"/>
    <mergeCell ref="T34:X34"/>
    <mergeCell ref="T33:X33"/>
    <mergeCell ref="AE8:AK10"/>
    <mergeCell ref="AE11:AK13"/>
    <mergeCell ref="T40:X40"/>
    <mergeCell ref="T28:X28"/>
    <mergeCell ref="T35:X35"/>
    <mergeCell ref="T32:X32"/>
    <mergeCell ref="T37:X37"/>
    <mergeCell ref="T20:X20"/>
    <mergeCell ref="Y20:AC20"/>
    <mergeCell ref="AD20:AK21"/>
    <mergeCell ref="T21:X21"/>
    <mergeCell ref="U2:AK2"/>
    <mergeCell ref="AA1:AB1"/>
    <mergeCell ref="AV11:AW11"/>
    <mergeCell ref="AP13:AT13"/>
    <mergeCell ref="AV13:AW13"/>
    <mergeCell ref="AP15:AS15"/>
    <mergeCell ref="AV15:AW15"/>
    <mergeCell ref="AP5:AS5"/>
    <mergeCell ref="AV5:AW5"/>
    <mergeCell ref="AP7:AS7"/>
    <mergeCell ref="AV7:AW7"/>
    <mergeCell ref="AP9:AS9"/>
    <mergeCell ref="AV9:AW9"/>
    <mergeCell ref="O42:S42"/>
    <mergeCell ref="T42:X42"/>
    <mergeCell ref="A23:N42"/>
    <mergeCell ref="Y23:AC42"/>
    <mergeCell ref="AD23:AK42"/>
    <mergeCell ref="A2:O2"/>
    <mergeCell ref="AP11:AS11"/>
    <mergeCell ref="A3:D4"/>
    <mergeCell ref="E3:U4"/>
    <mergeCell ref="V3:AD4"/>
    <mergeCell ref="O38:S38"/>
    <mergeCell ref="T38:X38"/>
    <mergeCell ref="O39:S39"/>
    <mergeCell ref="T27:X27"/>
    <mergeCell ref="O30:S30"/>
    <mergeCell ref="T30:X30"/>
    <mergeCell ref="O31:S31"/>
    <mergeCell ref="T31:X31"/>
    <mergeCell ref="T39:X39"/>
    <mergeCell ref="O36:S36"/>
    <mergeCell ref="T36:X36"/>
    <mergeCell ref="O34:S34"/>
    <mergeCell ref="O41:S41"/>
    <mergeCell ref="O40:S40"/>
  </mergeCells>
  <pageMargins left="0.76" right="0.44999999999999996" top="1.42" bottom="0" header="0.2" footer="0"/>
  <pageSetup orientation="portrait" scale="99" r:id="rId4"/>
  <headerFooter>
    <oddHeader xml:space="preserve">&amp;C &amp;R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1" name="Button 1">
              <controlPr defaultSize="0" print="0" autoLine="0" autoPict="0">
                <macro>[0]!AnnexureIBII_Button1_Click</macro>
                <anchor moveWithCells="1" sizeWithCells="1">
                  <from>
                    <xdr:col>43</xdr:col>
                    <xdr:colOff>95250</xdr:colOff>
                    <xdr:row>0</xdr:row>
                    <xdr:rowOff>142875</xdr:rowOff>
                  </from>
                  <to>
                    <xdr:col>48</xdr:col>
                    <xdr:colOff>152400</xdr:colOff>
                    <xdr:row>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c19994-b58e-4ad5-b551-e82b2949d3e2}">
  <sheetPr codeName="Sheet5"/>
  <dimension ref="A1:AW52"/>
  <sheetViews>
    <sheetView view="pageLayout" zoomScaleNormal="100" workbookViewId="0" topLeftCell="A1">
      <selection pane="topLeft" activeCell="T5" sqref="T5:AA6"/>
    </sheetView>
  </sheetViews>
  <sheetFormatPr defaultColWidth="9.144285714285713" defaultRowHeight="15"/>
  <cols>
    <col min="1" max="48" width="2.4285714285714284" customWidth="1"/>
    <col min="49" max="51" width="2.5714285714285716" customWidth="1"/>
  </cols>
  <sheetData>
    <row r="1" spans="1:37" ht="13.5" customHeight="1">
      <c r="A1" s="65" t="str">
        <f>Certificate!A1</f>
        <v>C</v>
      </c>
      <c r="B1" s="65" t="str">
        <f>Certificate!B1</f>
        <v>A</v>
      </c>
      <c r="C1" s="65" t="str">
        <f>Certificate!C1</f>
        <v>N</v>
      </c>
      <c r="D1" s="65" t="str">
        <f>Certificate!D1</f>
        <v>F</v>
      </c>
      <c r="E1" s="106">
        <f>Certificate!E1</f>
        <v>4567</v>
      </c>
      <c r="F1" s="106"/>
      <c r="G1" s="106"/>
      <c r="H1" s="106">
        <f>Certificate!H1</f>
        <v>0</v>
      </c>
      <c r="I1" s="106"/>
      <c r="J1" s="106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34"/>
      <c r="Z1" s="37"/>
      <c r="AA1" s="164" t="s">
        <v>27</v>
      </c>
      <c r="AB1" s="164"/>
      <c r="AC1" s="99" t="s">
        <v>105</v>
      </c>
      <c r="AD1" s="99"/>
      <c r="AE1" s="99"/>
      <c r="AF1" s="99"/>
      <c r="AG1" s="99"/>
      <c r="AH1" s="99"/>
      <c r="AI1" s="99"/>
      <c r="AJ1" s="99"/>
      <c r="AK1" s="99"/>
    </row>
    <row r="2" spans="1:37" ht="13.5" customHeight="1">
      <c r="A2" s="155" t="str">
        <f>Certificate!K10</f>
        <v>M/s XXX Ltd.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4" t="s">
        <v>97</v>
      </c>
      <c r="Q2" s="154"/>
      <c r="R2" s="154"/>
      <c r="S2" s="154"/>
      <c r="T2" s="154"/>
      <c r="U2" s="155" t="str">
        <f>Certificate!B19</f>
        <v>XXXX</v>
      </c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 spans="1:37" ht="13.5" customHeight="1">
      <c r="A3" s="127" t="s">
        <v>13</v>
      </c>
      <c r="B3" s="127"/>
      <c r="C3" s="127"/>
      <c r="D3" s="127" t="s">
        <v>25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 t="s">
        <v>108</v>
      </c>
      <c r="U3" s="127"/>
      <c r="V3" s="127"/>
      <c r="W3" s="127"/>
      <c r="X3" s="127"/>
      <c r="Y3" s="127"/>
      <c r="Z3" s="127"/>
      <c r="AA3" s="127"/>
      <c r="AB3" s="313" t="s">
        <v>28</v>
      </c>
      <c r="AC3" s="313"/>
      <c r="AD3" s="313"/>
      <c r="AE3" s="313"/>
      <c r="AF3" s="313"/>
      <c r="AG3" s="313"/>
      <c r="AH3" s="127" t="s">
        <v>29</v>
      </c>
      <c r="AI3" s="127"/>
      <c r="AJ3" s="127"/>
      <c r="AK3" s="127"/>
    </row>
    <row r="4" spans="1:37" ht="13.5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313"/>
      <c r="AC4" s="313"/>
      <c r="AD4" s="313"/>
      <c r="AE4" s="313"/>
      <c r="AF4" s="313"/>
      <c r="AG4" s="313"/>
      <c r="AH4" s="127"/>
      <c r="AI4" s="127"/>
      <c r="AJ4" s="127"/>
      <c r="AK4" s="127"/>
    </row>
    <row r="5" spans="1:49" ht="13.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P5" s="104" t="s">
        <v>353</v>
      </c>
      <c r="AQ5" s="104"/>
      <c r="AR5" s="104"/>
      <c r="AS5" s="104"/>
      <c r="AT5" s="24"/>
      <c r="AU5" s="24"/>
      <c r="AV5" s="104">
        <v>0.76000000000000001</v>
      </c>
      <c r="AW5" s="104"/>
    </row>
    <row r="6" spans="1:49" ht="13.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P6" s="24"/>
      <c r="AQ6" s="24"/>
      <c r="AR6" s="24"/>
      <c r="AS6" s="24"/>
      <c r="AT6" s="24"/>
      <c r="AU6" s="24"/>
      <c r="AV6" s="24"/>
      <c r="AW6" s="37"/>
    </row>
    <row r="7" spans="1:49" ht="13.5" customHeight="1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P7" s="157" t="s">
        <v>354</v>
      </c>
      <c r="AQ7" s="157"/>
      <c r="AR7" s="157"/>
      <c r="AS7" s="157"/>
      <c r="AT7" s="58"/>
      <c r="AU7" s="58"/>
      <c r="AV7" s="167">
        <v>0.45000000000000001</v>
      </c>
      <c r="AW7" s="167"/>
    </row>
    <row r="8" spans="1:49" ht="13.5" customHeight="1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P8" s="58"/>
      <c r="AQ8" s="58"/>
      <c r="AR8" s="58"/>
      <c r="AS8" s="58"/>
      <c r="AT8" s="58"/>
      <c r="AU8" s="58"/>
      <c r="AV8" s="58"/>
      <c r="AW8" s="37"/>
    </row>
    <row r="9" spans="1:49" ht="13.5" customHeight="1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P9" s="82" t="s">
        <v>355</v>
      </c>
      <c r="AQ9" s="82"/>
      <c r="AR9" s="82"/>
      <c r="AS9" s="82"/>
      <c r="AT9" s="58"/>
      <c r="AU9" s="58"/>
      <c r="AV9" s="167">
        <v>1.4199999999999999</v>
      </c>
      <c r="AW9" s="167"/>
    </row>
    <row r="10" spans="1:49" ht="13.5" customHeight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P10" s="27"/>
      <c r="AQ10" s="27"/>
      <c r="AR10" s="26"/>
      <c r="AS10" s="26"/>
      <c r="AT10" s="26"/>
      <c r="AU10" s="26"/>
      <c r="AV10" s="26"/>
      <c r="AW10" s="37"/>
    </row>
    <row r="11" spans="1:49" ht="13.5" customHeight="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P11" s="82" t="s">
        <v>356</v>
      </c>
      <c r="AQ11" s="82"/>
      <c r="AR11" s="82"/>
      <c r="AS11" s="82"/>
      <c r="AT11" s="26"/>
      <c r="AU11" s="26"/>
      <c r="AV11" s="145">
        <v>0</v>
      </c>
      <c r="AW11" s="147"/>
    </row>
    <row r="12" spans="1:49" ht="13.5" customHeight="1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P12" s="27"/>
      <c r="AQ12" s="27"/>
      <c r="AR12" s="27"/>
      <c r="AS12" s="27"/>
      <c r="AT12" s="27"/>
      <c r="AU12" s="27"/>
      <c r="AV12" s="27"/>
      <c r="AW12" s="37"/>
    </row>
    <row r="13" spans="1:49" ht="13.5" customHeight="1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P13" s="82" t="s">
        <v>357</v>
      </c>
      <c r="AQ13" s="82"/>
      <c r="AR13" s="82"/>
      <c r="AS13" s="82"/>
      <c r="AT13" s="82"/>
      <c r="AU13" s="27"/>
      <c r="AV13" s="158">
        <v>0.20000000000000001</v>
      </c>
      <c r="AW13" s="159"/>
    </row>
    <row r="14" spans="1:49" ht="13.5" customHeight="1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P14" s="27"/>
      <c r="AQ14" s="27"/>
      <c r="AR14" s="27"/>
      <c r="AS14" s="27"/>
      <c r="AT14" s="27"/>
      <c r="AU14" s="27"/>
      <c r="AV14" s="27"/>
      <c r="AW14" s="37"/>
    </row>
    <row r="15" spans="1:49" ht="13.5" customHeight="1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P15" s="157" t="s">
        <v>359</v>
      </c>
      <c r="AQ15" s="157"/>
      <c r="AR15" s="157"/>
      <c r="AS15" s="157"/>
      <c r="AT15" s="58"/>
      <c r="AU15" s="58"/>
      <c r="AV15" s="158">
        <v>0</v>
      </c>
      <c r="AW15" s="159"/>
    </row>
    <row r="16" spans="1:37" ht="13.5" customHeight="1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</row>
    <row r="17" spans="1:37" ht="13.5" customHeight="1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</row>
    <row r="18" spans="1:37" ht="13.5" customHeight="1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</row>
    <row r="19" spans="1:37" ht="12.95" customHeight="1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</row>
    <row r="20" spans="1:37" ht="12.95" customHeight="1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</row>
    <row r="21" ht="12.9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2.9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spans="1:37" ht="13.5" customHeight="1">
      <c r="A45" s="105" t="s">
        <v>115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6"/>
      <c r="AJ45" s="106"/>
      <c r="AK45" s="106"/>
    </row>
    <row r="46" spans="1:37" ht="13.5" customHeight="1">
      <c r="A46" s="160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2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</row>
    <row r="47" spans="1:37" ht="13.5" customHeight="1">
      <c r="A47" s="163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5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</row>
    <row r="48" spans="1:37" ht="13.5" customHeight="1">
      <c r="A48" s="163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5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</row>
    <row r="49" spans="1:37" ht="13.5" customHeight="1">
      <c r="A49" s="163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5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</row>
    <row r="50" spans="1:37" ht="13.5" customHeight="1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</row>
    <row r="51" spans="1:37" ht="13.5" customHeight="1">
      <c r="A51" s="160" t="s">
        <v>371</v>
      </c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2"/>
      <c r="N51" s="113"/>
      <c r="O51" s="106"/>
      <c r="P51" s="106"/>
      <c r="Q51" s="106"/>
      <c r="R51" s="106"/>
      <c r="S51" s="106"/>
      <c r="T51" s="106"/>
      <c r="U51" s="116" t="s">
        <v>22</v>
      </c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07" t="s">
        <v>345</v>
      </c>
      <c r="AJ51" s="107"/>
      <c r="AK51" s="107"/>
    </row>
    <row r="52" spans="1:37" ht="13.5" customHeight="1">
      <c r="A52" s="136" t="s">
        <v>372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66"/>
      <c r="N52" s="113"/>
      <c r="O52" s="106"/>
      <c r="P52" s="106"/>
      <c r="Q52" s="106"/>
      <c r="R52" s="106"/>
      <c r="S52" s="106"/>
      <c r="T52" s="106"/>
      <c r="U52" s="117" t="s">
        <v>23</v>
      </c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5">
        <v>6</v>
      </c>
      <c r="AJ52" s="115"/>
      <c r="AK52" s="115"/>
    </row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</sheetData>
  <mergeCells count="75">
    <mergeCell ref="A3:C4"/>
    <mergeCell ref="D3:S4"/>
    <mergeCell ref="T3:AA4"/>
    <mergeCell ref="AB3:AG4"/>
    <mergeCell ref="AH3:AK4"/>
    <mergeCell ref="E1:G1"/>
    <mergeCell ref="H1:J1"/>
    <mergeCell ref="AA1:AB1"/>
    <mergeCell ref="AC1:AK1"/>
    <mergeCell ref="P2:T2"/>
    <mergeCell ref="A2:O2"/>
    <mergeCell ref="U2:AK2"/>
    <mergeCell ref="A7:C8"/>
    <mergeCell ref="D7:S8"/>
    <mergeCell ref="T7:AA8"/>
    <mergeCell ref="AB7:AG8"/>
    <mergeCell ref="AH7:AK8"/>
    <mergeCell ref="A5:C6"/>
    <mergeCell ref="D5:S6"/>
    <mergeCell ref="T5:AA6"/>
    <mergeCell ref="AB5:AG6"/>
    <mergeCell ref="AH5:AK6"/>
    <mergeCell ref="A11:C12"/>
    <mergeCell ref="D11:S12"/>
    <mergeCell ref="T11:AA12"/>
    <mergeCell ref="AB11:AG12"/>
    <mergeCell ref="AH11:AK12"/>
    <mergeCell ref="A9:C10"/>
    <mergeCell ref="D9:S10"/>
    <mergeCell ref="T9:AA10"/>
    <mergeCell ref="AB9:AG10"/>
    <mergeCell ref="AH9:AK10"/>
    <mergeCell ref="A15:C16"/>
    <mergeCell ref="D15:S16"/>
    <mergeCell ref="T15:AA16"/>
    <mergeCell ref="AB15:AG16"/>
    <mergeCell ref="AH15:AK16"/>
    <mergeCell ref="A13:C14"/>
    <mergeCell ref="D13:S14"/>
    <mergeCell ref="T13:AA14"/>
    <mergeCell ref="AB13:AG14"/>
    <mergeCell ref="AH13:AK14"/>
    <mergeCell ref="A19:C20"/>
    <mergeCell ref="D19:S20"/>
    <mergeCell ref="T19:AA20"/>
    <mergeCell ref="AB19:AG20"/>
    <mergeCell ref="AH19:AK20"/>
    <mergeCell ref="A17:C18"/>
    <mergeCell ref="D17:S18"/>
    <mergeCell ref="T17:AA18"/>
    <mergeCell ref="AB17:AG18"/>
    <mergeCell ref="AH17:AK18"/>
    <mergeCell ref="AI52:AK52"/>
    <mergeCell ref="A45:AH45"/>
    <mergeCell ref="AI45:AK50"/>
    <mergeCell ref="U46:AH50"/>
    <mergeCell ref="U51:AH51"/>
    <mergeCell ref="AI51:AK51"/>
    <mergeCell ref="U52:AH52"/>
    <mergeCell ref="N46:T52"/>
    <mergeCell ref="A46:M50"/>
    <mergeCell ref="A51:M51"/>
    <mergeCell ref="A52:M52"/>
    <mergeCell ref="AP5:AS5"/>
    <mergeCell ref="AV5:AW5"/>
    <mergeCell ref="AP7:AS7"/>
    <mergeCell ref="AV7:AW7"/>
    <mergeCell ref="AP9:AS9"/>
    <mergeCell ref="AV9:AW9"/>
    <mergeCell ref="AP11:AS11"/>
    <mergeCell ref="AV11:AW11"/>
    <mergeCell ref="AP13:AT13"/>
    <mergeCell ref="AV13:AW13"/>
    <mergeCell ref="AP15:AS15"/>
    <mergeCell ref="AV15:AW15"/>
  </mergeCells>
  <pageMargins left="0.76" right="0.45" top="1.42" bottom="0" header="0.2" footer="0"/>
  <pageSetup orientation="portrait" scale="99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1" name="Button 1">
              <controlPr defaultSize="0" print="0" autoLine="0" autoPict="0">
                <macro>[0]!AnnexureIII_Button1_Click</macro>
                <anchor moveWithCells="1" sizeWithCells="1">
                  <from>
                    <xdr:col>41</xdr:col>
                    <xdr:colOff>161925</xdr:colOff>
                    <xdr:row>1</xdr:row>
                    <xdr:rowOff>19050</xdr:rowOff>
                  </from>
                  <to>
                    <xdr:col>48</xdr:col>
                    <xdr:colOff>57150</xdr:colOff>
                    <xdr:row>2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751c61-1e2b-4b86-ada3-b4ef4c1a006c}">
  <sheetPr codeName="Sheet7"/>
  <dimension ref="A1:AG999"/>
  <sheetViews>
    <sheetView workbookViewId="0" topLeftCell="A1"/>
  </sheetViews>
  <sheetFormatPr defaultRowHeight="15"/>
  <cols>
    <col min="1" max="1" width="16.142857142857142" bestFit="1" customWidth="1"/>
    <col min="25" max="25" width="9.142857142857142" customWidth="1"/>
  </cols>
  <sheetData>
    <row r="1" spans="1:5" ht="51.75">
      <c r="A1" s="1"/>
      <c r="B1" s="1"/>
      <c r="C1" s="1"/>
      <c r="D1" s="2" t="s">
        <v>5</v>
      </c>
      <c r="E1" s="3" t="s">
        <v>6</v>
      </c>
    </row>
    <row r="2" spans="1:5" ht="15">
      <c r="A2" s="1"/>
      <c r="B2" s="1"/>
      <c r="C2" s="1"/>
      <c r="D2" s="1"/>
      <c r="E2" s="1"/>
    </row>
    <row r="3" spans="1:5" ht="15">
      <c r="A3" s="1"/>
      <c r="B3" s="1"/>
      <c r="C3" s="1"/>
      <c r="D3" s="1"/>
      <c r="E3" s="1"/>
    </row>
    <row r="4" spans="1:33" ht="15">
      <c r="A4" s="1"/>
      <c r="B4" s="1"/>
      <c r="C4" s="1"/>
      <c r="D4" s="1"/>
      <c r="E4" s="1"/>
      <c r="AB4" t="str">
        <f>LEFT($Z4,1)</f>
        <v/>
      </c>
      <c r="AC4" t="str">
        <f>MID($Z$4,2,1)</f>
        <v/>
      </c>
      <c r="AD4" t="str">
        <f>MID($Z$4,3,1)</f>
        <v/>
      </c>
      <c r="AE4" t="str">
        <f>MID($Z$4,4,1)</f>
        <v/>
      </c>
      <c r="AF4" t="str">
        <f>MID($Z$4,5,1)</f>
        <v/>
      </c>
      <c r="AG4" t="str">
        <f>MID($Z$4,6,10)</f>
        <v/>
      </c>
    </row>
    <row r="5" spans="1:5" ht="15">
      <c r="A5" s="1"/>
      <c r="B5" s="1"/>
      <c r="C5" s="1"/>
      <c r="D5" s="1"/>
      <c r="E5" s="1"/>
    </row>
    <row r="6" spans="1:5" ht="15">
      <c r="A6" s="1" t="s">
        <v>7</v>
      </c>
      <c r="B6" s="1" t="s">
        <v>8</v>
      </c>
      <c r="C6" s="1"/>
      <c r="D6" s="1"/>
      <c r="E6" s="1"/>
    </row>
    <row r="7" spans="1:5" ht="15">
      <c r="A7" s="1" t="s">
        <v>9</v>
      </c>
      <c r="B7" s="4"/>
      <c r="C7" s="1"/>
      <c r="D7" s="1"/>
      <c r="E7" s="1"/>
    </row>
    <row r="8" spans="1:5" ht="15">
      <c r="A8" s="1" t="s">
        <v>10</v>
      </c>
      <c r="B8" s="5"/>
      <c r="C8" s="1"/>
      <c r="D8" s="1"/>
      <c r="E8" s="1"/>
    </row>
    <row r="9" spans="1:5" ht="15">
      <c r="A9" s="1"/>
      <c r="B9" s="1"/>
      <c r="C9" s="1"/>
      <c r="D9" s="1"/>
      <c r="E9" s="1"/>
    </row>
    <row r="10" spans="1:5" ht="15">
      <c r="A10" s="1"/>
      <c r="B10" s="1"/>
      <c r="C10" s="1"/>
      <c r="D10" s="1"/>
      <c r="E10" s="1"/>
    </row>
    <row r="11" spans="1:5" ht="15">
      <c r="A11" s="1"/>
      <c r="B11" s="1"/>
      <c r="C11" s="1"/>
      <c r="D11" s="1"/>
      <c r="E11" s="1"/>
    </row>
    <row r="12" spans="1:5" ht="15">
      <c r="A12" s="1"/>
      <c r="B12" s="1"/>
      <c r="C12" s="1"/>
      <c r="D12" s="1"/>
      <c r="E12" s="1"/>
    </row>
    <row r="13" spans="4:5" ht="15">
      <c r="D13" s="1"/>
      <c r="E13" s="1"/>
    </row>
    <row r="14" spans="4:5" ht="15">
      <c r="D14" s="1"/>
      <c r="E14" s="1"/>
    </row>
    <row r="15" spans="4:5" ht="15">
      <c r="D15" s="1"/>
      <c r="E15" s="1"/>
    </row>
    <row r="16" spans="4:5" ht="15">
      <c r="D16" s="1"/>
      <c r="E16" s="1"/>
    </row>
    <row r="17" spans="4:5" ht="15">
      <c r="D17" s="1"/>
      <c r="E17" s="1"/>
    </row>
    <row r="18" spans="4:5" ht="15">
      <c r="D18" s="1"/>
      <c r="E18" s="1"/>
    </row>
    <row r="19" spans="4:5" ht="15">
      <c r="D19" s="1"/>
      <c r="E19" s="1"/>
    </row>
    <row r="20" spans="4:5" ht="15">
      <c r="D20" s="1"/>
      <c r="E20" s="1"/>
    </row>
    <row r="21" spans="4:5" ht="15">
      <c r="D21" s="1"/>
      <c r="E21" s="1"/>
    </row>
    <row r="22" spans="4:5" ht="15">
      <c r="D22" s="1"/>
      <c r="E22" s="1"/>
    </row>
    <row r="23" spans="4:5" ht="15">
      <c r="D23" s="1"/>
      <c r="E23" s="1"/>
    </row>
    <row r="24" spans="4:5" ht="15">
      <c r="D24" s="1"/>
      <c r="E24" s="1"/>
    </row>
    <row r="25" spans="4:5" ht="15">
      <c r="D25" s="1"/>
      <c r="E25" s="1"/>
    </row>
    <row r="26" spans="4:5" ht="15">
      <c r="D26" s="1"/>
      <c r="E26" s="1"/>
    </row>
    <row r="27" spans="4:5" ht="15">
      <c r="D27" s="1"/>
      <c r="E27" s="1"/>
    </row>
    <row r="28" spans="4:5" ht="15">
      <c r="D28" s="1"/>
      <c r="E28" s="1"/>
    </row>
    <row r="29" spans="4:5" ht="15">
      <c r="D29" s="1"/>
      <c r="E29" s="1"/>
    </row>
    <row r="30" spans="4:5" ht="15">
      <c r="D30" s="1"/>
      <c r="E30" s="1"/>
    </row>
    <row r="31" spans="4:5" ht="15">
      <c r="D31" s="1"/>
      <c r="E31" s="1"/>
    </row>
    <row r="32" spans="4:5" ht="15">
      <c r="D32" s="1"/>
      <c r="E32" s="1"/>
    </row>
    <row r="33" spans="4:5" ht="15">
      <c r="D33" s="1"/>
      <c r="E33" s="1"/>
    </row>
    <row r="34" spans="4:5" ht="15">
      <c r="D34" s="1"/>
      <c r="E34" s="1"/>
    </row>
    <row r="35" spans="4:5" ht="15">
      <c r="D35" s="1"/>
      <c r="E35" s="1"/>
    </row>
    <row r="36" spans="4:5" ht="15">
      <c r="D36" s="1"/>
      <c r="E36" s="1"/>
    </row>
    <row r="37" spans="4:5" ht="15">
      <c r="D37" s="1"/>
      <c r="E37" s="1"/>
    </row>
    <row r="38" spans="4:5" ht="15">
      <c r="D38" s="1"/>
      <c r="E38" s="1"/>
    </row>
    <row r="39" spans="4:5" ht="15">
      <c r="D39" s="1"/>
      <c r="E39" s="1"/>
    </row>
    <row r="40" spans="4:5" ht="15">
      <c r="D40" s="1"/>
      <c r="E40" s="1"/>
    </row>
    <row r="41" spans="4:5" ht="15">
      <c r="D41" s="1"/>
      <c r="E41" s="1"/>
    </row>
    <row r="42" spans="4:5" ht="15">
      <c r="D42" s="1"/>
      <c r="E42" s="1"/>
    </row>
    <row r="43" spans="4:5" ht="15">
      <c r="D43" s="1"/>
      <c r="E43" s="1"/>
    </row>
    <row r="44" spans="4:5" ht="15">
      <c r="D44" s="1"/>
      <c r="E44" s="1"/>
    </row>
    <row r="45" spans="4:5" ht="15">
      <c r="D45" s="1"/>
      <c r="E45" s="1"/>
    </row>
    <row r="46" spans="4:5" ht="15">
      <c r="D46" s="1"/>
      <c r="E46" s="1"/>
    </row>
    <row r="47" spans="4:5" ht="15">
      <c r="D47" s="1"/>
      <c r="E47" s="1"/>
    </row>
    <row r="48" spans="4:5" ht="15">
      <c r="D48" s="1"/>
      <c r="E48" s="1"/>
    </row>
    <row r="49" spans="4:5" ht="15">
      <c r="D49" s="1"/>
      <c r="E49" s="1"/>
    </row>
    <row r="50" spans="4:5" ht="15">
      <c r="D50" s="1"/>
      <c r="E50" s="1"/>
    </row>
    <row r="51" spans="4:5" ht="15">
      <c r="D51" s="1"/>
      <c r="E51" s="1"/>
    </row>
    <row r="52" spans="4:5" ht="15">
      <c r="D52" s="1"/>
      <c r="E52" s="1"/>
    </row>
    <row r="53" spans="4:5" ht="15">
      <c r="D53" s="1"/>
      <c r="E53" s="1"/>
    </row>
    <row r="54" spans="4:5" ht="15">
      <c r="D54" s="1"/>
      <c r="E54" s="1"/>
    </row>
    <row r="55" spans="4:5" ht="15">
      <c r="D55" s="1"/>
      <c r="E55" s="1"/>
    </row>
    <row r="56" spans="4:5" ht="15">
      <c r="D56" s="1"/>
      <c r="E56" s="1"/>
    </row>
    <row r="57" spans="4:5" ht="15">
      <c r="D57" s="1"/>
      <c r="E57" s="1"/>
    </row>
    <row r="58" spans="4:5" ht="15">
      <c r="D58" s="1"/>
      <c r="E58" s="1"/>
    </row>
    <row r="59" spans="4:5" ht="15">
      <c r="D59" s="1"/>
      <c r="E59" s="1"/>
    </row>
    <row r="60" spans="4:5" ht="15">
      <c r="D60" s="1"/>
      <c r="E60" s="1"/>
    </row>
    <row r="61" spans="4:5" ht="15">
      <c r="D61" s="1"/>
      <c r="E61" s="1"/>
    </row>
    <row r="62" spans="4:5" ht="15">
      <c r="D62" s="1"/>
      <c r="E62" s="1"/>
    </row>
    <row r="63" spans="4:5" ht="15">
      <c r="D63" s="1"/>
      <c r="E63" s="1"/>
    </row>
    <row r="64" spans="4:5" ht="15">
      <c r="D64" s="1"/>
      <c r="E64" s="1"/>
    </row>
    <row r="65" spans="4:5" ht="15">
      <c r="D65" s="1"/>
      <c r="E65" s="1"/>
    </row>
    <row r="66" spans="4:5" ht="15">
      <c r="D66" s="1"/>
      <c r="E66" s="1"/>
    </row>
    <row r="67" spans="4:5" ht="15">
      <c r="D67" s="1"/>
      <c r="E67" s="1"/>
    </row>
    <row r="68" spans="4:5" ht="15">
      <c r="D68" s="1"/>
      <c r="E68" s="1"/>
    </row>
    <row r="69" spans="4:5" ht="15">
      <c r="D69" s="1"/>
      <c r="E69" s="1"/>
    </row>
    <row r="70" spans="4:5" ht="15">
      <c r="D70" s="1"/>
      <c r="E70" s="1"/>
    </row>
    <row r="71" spans="4:5" ht="15">
      <c r="D71" s="1"/>
      <c r="E71" s="1"/>
    </row>
    <row r="72" spans="4:5" ht="15">
      <c r="D72" s="1"/>
      <c r="E72" s="1"/>
    </row>
    <row r="73" spans="4:5" ht="15">
      <c r="D73" s="1"/>
      <c r="E73" s="1"/>
    </row>
    <row r="74" spans="4:5" ht="15">
      <c r="D74" s="1"/>
      <c r="E74" s="1"/>
    </row>
    <row r="75" spans="4:5" ht="15">
      <c r="D75" s="1"/>
      <c r="E75" s="1"/>
    </row>
    <row r="76" spans="4:4" ht="15">
      <c r="D76" s="1"/>
    </row>
    <row r="77" spans="4:4" ht="15">
      <c r="D77" s="1"/>
    </row>
    <row r="78" spans="4:4" ht="15">
      <c r="D78" s="1"/>
    </row>
    <row r="79" spans="4:4" ht="15">
      <c r="D79" s="1"/>
    </row>
    <row r="80" spans="4:4" ht="15">
      <c r="D80" s="1"/>
    </row>
    <row r="81" spans="4:4" ht="15">
      <c r="D81" s="1"/>
    </row>
    <row r="82" spans="4:4" ht="15">
      <c r="D82" s="1"/>
    </row>
    <row r="83" spans="4:4" ht="15">
      <c r="D83" s="1"/>
    </row>
    <row r="84" spans="4:4" ht="15">
      <c r="D84" s="1"/>
    </row>
    <row r="85" spans="4:4" ht="15">
      <c r="D85" s="1"/>
    </row>
    <row r="86" spans="4:4" ht="15">
      <c r="D86" s="1"/>
    </row>
    <row r="87" spans="4:4" ht="15">
      <c r="D87" s="1"/>
    </row>
    <row r="88" spans="4:4" ht="15">
      <c r="D88" s="1"/>
    </row>
    <row r="89" spans="4:4" ht="15">
      <c r="D89" s="1"/>
    </row>
    <row r="90" spans="4:4" ht="15">
      <c r="D90" s="1"/>
    </row>
    <row r="91" spans="4:4" ht="15">
      <c r="D91" s="1"/>
    </row>
    <row r="92" spans="4:4" ht="15">
      <c r="D92" s="1"/>
    </row>
    <row r="93" spans="4:4" ht="15">
      <c r="D93" s="1"/>
    </row>
    <row r="94" spans="4:4" ht="15">
      <c r="D94" s="1"/>
    </row>
    <row r="95" spans="4:4" ht="15">
      <c r="D95" s="1"/>
    </row>
    <row r="96" spans="4:4" ht="15">
      <c r="D96" s="1"/>
    </row>
    <row r="97" spans="4:4" ht="15">
      <c r="D97" s="1"/>
    </row>
    <row r="98" spans="4:4" ht="15">
      <c r="D98" s="1"/>
    </row>
    <row r="99" spans="4:4" ht="15">
      <c r="D99" s="1"/>
    </row>
    <row r="100" spans="4:4" ht="15">
      <c r="D100" s="1"/>
    </row>
    <row r="101" spans="4:4" ht="15">
      <c r="D101" s="1"/>
    </row>
    <row r="102" spans="4:4" ht="15">
      <c r="D102" s="1"/>
    </row>
    <row r="103" spans="4:4" ht="15">
      <c r="D103" s="1"/>
    </row>
    <row r="104" spans="4:4" ht="15">
      <c r="D104" s="1"/>
    </row>
    <row r="105" spans="4:4" ht="15">
      <c r="D105" s="1"/>
    </row>
    <row r="106" spans="4:4" ht="15">
      <c r="D106" s="1"/>
    </row>
    <row r="107" spans="4:4" ht="15">
      <c r="D107" s="1"/>
    </row>
    <row r="108" spans="4:6" ht="15">
      <c r="D108" s="6"/>
      <c r="F108" t="s">
        <v>11</v>
      </c>
    </row>
    <row r="109" spans="4:4" ht="15">
      <c r="D109" s="6"/>
    </row>
    <row r="110" spans="4:4" ht="15">
      <c r="D110" s="6"/>
    </row>
    <row r="111" spans="4:4" ht="15">
      <c r="D111" s="6"/>
    </row>
    <row r="112" spans="4:4" ht="15">
      <c r="D112" s="6"/>
    </row>
    <row r="113" spans="4:4" ht="15">
      <c r="D113" s="6"/>
    </row>
    <row r="114" spans="4:4" ht="15">
      <c r="D114" s="6"/>
    </row>
    <row r="115" spans="4:4" ht="15">
      <c r="D115" s="6"/>
    </row>
    <row r="116" spans="4:4" ht="15">
      <c r="D116" s="6"/>
    </row>
    <row r="117" spans="4:4" ht="15">
      <c r="D117" s="6"/>
    </row>
    <row r="118" spans="4:4" ht="15">
      <c r="D118" s="6"/>
    </row>
    <row r="119" spans="4:4" ht="15">
      <c r="D119" s="6"/>
    </row>
    <row r="120" spans="4:4" ht="15">
      <c r="D120" s="6"/>
    </row>
    <row r="121" spans="4:4" ht="15">
      <c r="D121" s="6"/>
    </row>
    <row r="122" spans="4:4" ht="15">
      <c r="D122" s="6"/>
    </row>
    <row r="123" spans="4:4" ht="15">
      <c r="D123" s="6"/>
    </row>
    <row r="124" spans="4:4" ht="15">
      <c r="D124" s="6"/>
    </row>
    <row r="125" spans="4:4" ht="15">
      <c r="D125" s="6"/>
    </row>
    <row r="126" spans="4:4" ht="15">
      <c r="D126" s="6"/>
    </row>
    <row r="127" spans="4:4" ht="15">
      <c r="D127" s="6"/>
    </row>
    <row r="128" spans="4:4" ht="15">
      <c r="D128" s="6"/>
    </row>
    <row r="129" spans="4:4" ht="15">
      <c r="D129" s="6"/>
    </row>
    <row r="130" spans="4:4" ht="15">
      <c r="D130" s="6"/>
    </row>
    <row r="131" spans="4:4" ht="15">
      <c r="D131" s="6"/>
    </row>
    <row r="132" spans="4:4" ht="15">
      <c r="D132" s="6"/>
    </row>
    <row r="133" spans="4:4" ht="15">
      <c r="D133" s="6"/>
    </row>
    <row r="134" spans="4:4" ht="15">
      <c r="D134" s="6"/>
    </row>
    <row r="135" spans="4:4" ht="15">
      <c r="D135" s="6"/>
    </row>
    <row r="136" spans="4:4" ht="15">
      <c r="D136" s="6"/>
    </row>
    <row r="137" spans="4:4" ht="15">
      <c r="D137" s="6"/>
    </row>
    <row r="138" spans="4:4" ht="15">
      <c r="D138" s="6"/>
    </row>
    <row r="139" spans="4:4" ht="15">
      <c r="D139" s="6"/>
    </row>
    <row r="140" spans="4:4" ht="15">
      <c r="D140" s="6"/>
    </row>
    <row r="141" spans="4:4" ht="15">
      <c r="D141" s="6"/>
    </row>
    <row r="142" spans="4:4" ht="15">
      <c r="D142" s="6"/>
    </row>
    <row r="143" spans="4:4" ht="15">
      <c r="D143" s="6"/>
    </row>
    <row r="144" spans="4:4" ht="15">
      <c r="D144" s="6"/>
    </row>
    <row r="145" spans="4:4" ht="15">
      <c r="D145" s="6"/>
    </row>
    <row r="146" spans="4:4" ht="15">
      <c r="D146" s="6"/>
    </row>
    <row r="147" spans="4:4" ht="15">
      <c r="D147" s="6"/>
    </row>
    <row r="148" spans="4:4" ht="15">
      <c r="D148" s="6"/>
    </row>
    <row r="149" spans="4:4" ht="15">
      <c r="D149" s="6"/>
    </row>
    <row r="150" spans="4:4" ht="15">
      <c r="D150" s="6"/>
    </row>
    <row r="151" spans="4:4" ht="15">
      <c r="D151" s="6"/>
    </row>
    <row r="152" spans="4:4" ht="15">
      <c r="D152" s="6"/>
    </row>
    <row r="153" spans="4:4" ht="15">
      <c r="D153" s="6"/>
    </row>
    <row r="154" spans="4:4" ht="15">
      <c r="D154" s="6"/>
    </row>
    <row r="155" spans="4:4" ht="15">
      <c r="D155" s="6"/>
    </row>
    <row r="156" spans="4:4" ht="15">
      <c r="D156" s="6"/>
    </row>
    <row r="157" spans="4:4" ht="15">
      <c r="D157" s="6"/>
    </row>
    <row r="158" spans="4:4" ht="15">
      <c r="D158" s="6"/>
    </row>
    <row r="159" spans="4:4" ht="15">
      <c r="D159" s="6"/>
    </row>
    <row r="160" spans="4:4" ht="15">
      <c r="D160" s="6"/>
    </row>
    <row r="161" spans="4:4" ht="15">
      <c r="D161" s="6"/>
    </row>
    <row r="162" spans="4:4" ht="15">
      <c r="D162" s="6"/>
    </row>
    <row r="163" spans="4:4" ht="15">
      <c r="D163" s="6"/>
    </row>
    <row r="164" spans="4:4" ht="15">
      <c r="D164" s="6"/>
    </row>
    <row r="165" spans="4:4" ht="15">
      <c r="D165" s="6"/>
    </row>
    <row r="166" spans="4:4" ht="15">
      <c r="D166" s="6"/>
    </row>
    <row r="167" spans="4:4" ht="15">
      <c r="D167" s="6"/>
    </row>
    <row r="168" spans="4:4" ht="15">
      <c r="D168" s="6"/>
    </row>
    <row r="169" spans="4:4" ht="15">
      <c r="D169" s="6"/>
    </row>
    <row r="170" spans="4:4" ht="15">
      <c r="D170" s="6"/>
    </row>
    <row r="171" spans="4:4" ht="15">
      <c r="D171" s="6"/>
    </row>
    <row r="172" spans="4:4" ht="15">
      <c r="D172" s="6"/>
    </row>
    <row r="173" spans="4:4" ht="15">
      <c r="D173" s="6"/>
    </row>
    <row r="174" spans="4:4" ht="15">
      <c r="D174" s="6"/>
    </row>
    <row r="175" spans="4:4" ht="15">
      <c r="D175" s="6"/>
    </row>
    <row r="176" spans="4:4" ht="15">
      <c r="D176" s="6"/>
    </row>
    <row r="177" spans="4:4" ht="15">
      <c r="D177" s="6"/>
    </row>
    <row r="178" spans="4:4" ht="15">
      <c r="D178" s="6"/>
    </row>
    <row r="179" spans="4:4" ht="15">
      <c r="D179" s="6"/>
    </row>
    <row r="180" spans="4:4" ht="15">
      <c r="D180" s="6"/>
    </row>
    <row r="181" spans="4:4" ht="15">
      <c r="D181" s="6"/>
    </row>
    <row r="182" spans="4:4" ht="15">
      <c r="D182" s="6"/>
    </row>
    <row r="183" spans="4:4" ht="15">
      <c r="D183" s="6"/>
    </row>
    <row r="184" spans="4:4" ht="15">
      <c r="D184" s="6"/>
    </row>
    <row r="185" spans="4:4" ht="15">
      <c r="D185" s="6"/>
    </row>
    <row r="186" spans="4:4" ht="15">
      <c r="D186" s="6"/>
    </row>
    <row r="187" spans="4:4" ht="15">
      <c r="D187" s="6"/>
    </row>
    <row r="188" spans="4:4" ht="15">
      <c r="D188" s="6"/>
    </row>
    <row r="189" spans="4:4" ht="15">
      <c r="D189" s="6"/>
    </row>
    <row r="190" spans="4:4" ht="15">
      <c r="D190" s="6"/>
    </row>
    <row r="191" spans="4:4" ht="15">
      <c r="D191" s="6"/>
    </row>
    <row r="192" spans="4:4" ht="15">
      <c r="D192" s="6"/>
    </row>
    <row r="193" spans="4:4" ht="15">
      <c r="D193" s="6"/>
    </row>
    <row r="194" spans="4:4" ht="15">
      <c r="D194" s="6"/>
    </row>
    <row r="195" spans="4:4" ht="15">
      <c r="D195" s="6"/>
    </row>
    <row r="196" spans="4:4" ht="15">
      <c r="D196" s="6"/>
    </row>
    <row r="197" spans="4:4" ht="15">
      <c r="D197" s="6"/>
    </row>
    <row r="198" spans="4:4" ht="15">
      <c r="D198" s="6"/>
    </row>
    <row r="199" spans="4:4" ht="15">
      <c r="D199" s="6"/>
    </row>
    <row r="200" spans="4:4" ht="15">
      <c r="D200" s="6"/>
    </row>
    <row r="201" spans="4:4" ht="15">
      <c r="D201" s="6"/>
    </row>
    <row r="202" spans="4:4" ht="15">
      <c r="D202" s="6"/>
    </row>
    <row r="203" spans="4:4" ht="15">
      <c r="D203" s="6"/>
    </row>
    <row r="204" spans="4:4" ht="15">
      <c r="D204" s="6"/>
    </row>
    <row r="205" spans="4:4" ht="15">
      <c r="D205" s="6"/>
    </row>
    <row r="206" spans="4:4" ht="15">
      <c r="D206" s="6"/>
    </row>
    <row r="207" spans="4:4" ht="15">
      <c r="D207" s="6"/>
    </row>
    <row r="208" spans="4:4" ht="15">
      <c r="D208" s="6"/>
    </row>
    <row r="209" spans="4:4" ht="15">
      <c r="D209" s="6"/>
    </row>
    <row r="210" spans="4:4" ht="15">
      <c r="D210" s="6"/>
    </row>
    <row r="211" spans="4:4" ht="15">
      <c r="D211" s="6"/>
    </row>
    <row r="212" spans="4:4" ht="15">
      <c r="D212" s="6"/>
    </row>
    <row r="213" spans="4:4" ht="15">
      <c r="D213" s="6"/>
    </row>
    <row r="214" spans="4:4" ht="15">
      <c r="D214" s="6"/>
    </row>
    <row r="215" spans="4:4" ht="15">
      <c r="D215" s="6"/>
    </row>
    <row r="216" spans="4:4" ht="15">
      <c r="D216" s="6"/>
    </row>
    <row r="217" spans="4:4" ht="15">
      <c r="D217" s="6"/>
    </row>
    <row r="218" spans="4:4" ht="15">
      <c r="D218" s="6"/>
    </row>
    <row r="219" spans="4:4" ht="15">
      <c r="D219" s="6"/>
    </row>
    <row r="220" spans="4:4" ht="15">
      <c r="D220" s="6"/>
    </row>
    <row r="221" spans="4:4" ht="15">
      <c r="D221" s="6"/>
    </row>
    <row r="222" spans="4:4" ht="15">
      <c r="D222" s="6"/>
    </row>
    <row r="223" spans="4:4" ht="15">
      <c r="D223" s="6"/>
    </row>
    <row r="224" spans="4:4" ht="15">
      <c r="D224" s="6"/>
    </row>
    <row r="225" spans="4:4" ht="15">
      <c r="D225" s="6"/>
    </row>
    <row r="226" spans="4:4" ht="15">
      <c r="D226" s="6"/>
    </row>
    <row r="227" spans="4:4" ht="15">
      <c r="D227" s="6"/>
    </row>
    <row r="228" spans="4:4" ht="15">
      <c r="D228" s="6"/>
    </row>
    <row r="229" spans="4:4" ht="15">
      <c r="D229" s="6"/>
    </row>
    <row r="230" spans="4:4" ht="15">
      <c r="D230" s="6"/>
    </row>
    <row r="231" spans="4:4" ht="15">
      <c r="D231" s="6"/>
    </row>
    <row r="232" spans="4:4" ht="15">
      <c r="D232" s="6"/>
    </row>
    <row r="233" spans="4:4" ht="15">
      <c r="D233" s="6"/>
    </row>
    <row r="234" spans="4:4" ht="15">
      <c r="D234" s="6"/>
    </row>
    <row r="235" spans="4:4" ht="15">
      <c r="D235" s="6"/>
    </row>
    <row r="236" spans="4:4" ht="15">
      <c r="D236" s="6"/>
    </row>
    <row r="237" spans="4:4" ht="15">
      <c r="D237" s="6"/>
    </row>
    <row r="238" spans="4:4" ht="15">
      <c r="D238" s="6"/>
    </row>
    <row r="239" spans="4:4" ht="15">
      <c r="D239" s="6"/>
    </row>
    <row r="240" spans="4:4" ht="15">
      <c r="D240" s="6"/>
    </row>
    <row r="241" spans="4:4" ht="15">
      <c r="D241" s="6"/>
    </row>
    <row r="242" spans="4:4" ht="15">
      <c r="D242" s="6"/>
    </row>
    <row r="243" spans="4:4" ht="15">
      <c r="D243" s="6"/>
    </row>
    <row r="244" spans="4:4" ht="15">
      <c r="D244" s="6"/>
    </row>
    <row r="245" spans="4:4" ht="15">
      <c r="D245" s="6"/>
    </row>
    <row r="246" spans="4:4" ht="15">
      <c r="D246" s="6"/>
    </row>
    <row r="247" spans="4:4" ht="15">
      <c r="D247" s="6"/>
    </row>
    <row r="248" spans="4:4" ht="15">
      <c r="D248" s="6"/>
    </row>
    <row r="249" spans="4:4" ht="15">
      <c r="D249" s="6"/>
    </row>
    <row r="250" spans="4:4" ht="15">
      <c r="D250" s="6"/>
    </row>
    <row r="251" spans="4:4" ht="15">
      <c r="D251" s="6"/>
    </row>
    <row r="252" spans="4:4" ht="15">
      <c r="D252" s="6"/>
    </row>
    <row r="253" spans="4:4" ht="15">
      <c r="D253" s="6"/>
    </row>
    <row r="254" spans="4:4" ht="15">
      <c r="D254" s="6"/>
    </row>
    <row r="255" spans="4:4" ht="15">
      <c r="D255" s="6"/>
    </row>
    <row r="256" spans="4:4" ht="15">
      <c r="D256" s="6"/>
    </row>
    <row r="257" spans="4:4" ht="15">
      <c r="D257" s="6"/>
    </row>
    <row r="258" spans="4:4" ht="15">
      <c r="D258" s="6"/>
    </row>
    <row r="259" spans="4:4" ht="15">
      <c r="D259" s="6"/>
    </row>
    <row r="260" spans="4:4" ht="15">
      <c r="D260" s="6"/>
    </row>
    <row r="261" spans="4:4" ht="15">
      <c r="D261" s="6"/>
    </row>
    <row r="262" spans="4:4" ht="15">
      <c r="D262" s="6"/>
    </row>
    <row r="263" spans="4:4" ht="15">
      <c r="D263" s="6"/>
    </row>
    <row r="264" spans="4:4" ht="15">
      <c r="D264" s="6"/>
    </row>
    <row r="265" spans="4:4" ht="15">
      <c r="D265" s="6"/>
    </row>
    <row r="266" spans="4:4" ht="15">
      <c r="D266" s="6"/>
    </row>
    <row r="267" spans="4:4" ht="15">
      <c r="D267" s="6"/>
    </row>
    <row r="268" spans="4:4" ht="15">
      <c r="D268" s="6"/>
    </row>
    <row r="269" spans="4:4" ht="15">
      <c r="D269" s="6"/>
    </row>
    <row r="270" spans="4:4" ht="15">
      <c r="D270" s="6"/>
    </row>
    <row r="271" spans="4:4" ht="15">
      <c r="D271" s="6"/>
    </row>
    <row r="272" spans="4:4" ht="15">
      <c r="D272" s="6"/>
    </row>
    <row r="273" spans="4:4" ht="15">
      <c r="D273" s="6"/>
    </row>
    <row r="274" spans="4:4" ht="15">
      <c r="D274" s="6"/>
    </row>
    <row r="275" spans="4:4" ht="15">
      <c r="D275" s="6"/>
    </row>
    <row r="276" spans="4:4" ht="15">
      <c r="D276" s="6"/>
    </row>
    <row r="277" spans="4:4" ht="15">
      <c r="D277" s="6"/>
    </row>
    <row r="278" spans="4:4" ht="15">
      <c r="D278" s="6"/>
    </row>
    <row r="279" spans="4:4" ht="15">
      <c r="D279" s="6"/>
    </row>
    <row r="280" spans="4:4" ht="15">
      <c r="D280" s="6"/>
    </row>
    <row r="281" spans="4:4" ht="15">
      <c r="D281" s="6"/>
    </row>
    <row r="282" spans="4:4" ht="15">
      <c r="D282" s="6"/>
    </row>
    <row r="283" spans="4:4" ht="15">
      <c r="D283" s="6"/>
    </row>
    <row r="284" spans="4:4" ht="15">
      <c r="D284" s="6"/>
    </row>
    <row r="285" spans="4:4" ht="15">
      <c r="D285" s="6"/>
    </row>
    <row r="286" spans="4:4" ht="15">
      <c r="D286" s="6"/>
    </row>
    <row r="287" spans="4:4" ht="15">
      <c r="D287" s="6"/>
    </row>
    <row r="288" spans="4:4" ht="15">
      <c r="D288" s="6"/>
    </row>
    <row r="289" spans="4:4" ht="15">
      <c r="D289" s="6"/>
    </row>
    <row r="290" spans="4:4" ht="15">
      <c r="D290" s="6"/>
    </row>
    <row r="291" spans="4:4" ht="15">
      <c r="D291" s="6"/>
    </row>
    <row r="292" spans="4:4" ht="15">
      <c r="D292" s="6"/>
    </row>
    <row r="293" spans="4:4" ht="15">
      <c r="D293" s="6"/>
    </row>
    <row r="294" spans="4:4" ht="15">
      <c r="D294" s="6"/>
    </row>
    <row r="295" spans="4:4" ht="15">
      <c r="D295" s="6"/>
    </row>
    <row r="296" spans="4:4" ht="15">
      <c r="D296" s="6"/>
    </row>
    <row r="297" spans="4:4" ht="15">
      <c r="D297" s="6"/>
    </row>
    <row r="298" spans="4:4" ht="15">
      <c r="D298" s="6"/>
    </row>
    <row r="299" spans="4:4" ht="15">
      <c r="D299" s="6"/>
    </row>
    <row r="300" spans="4:4" ht="15">
      <c r="D300" s="6"/>
    </row>
    <row r="301" spans="4:4" ht="15">
      <c r="D301" s="6"/>
    </row>
    <row r="302" spans="4:4" ht="15">
      <c r="D302" s="6"/>
    </row>
    <row r="303" spans="4:4" ht="15">
      <c r="D303" s="6"/>
    </row>
    <row r="304" spans="4:4" ht="15">
      <c r="D304" s="6"/>
    </row>
    <row r="305" spans="4:4" ht="15">
      <c r="D305" s="6"/>
    </row>
    <row r="306" spans="4:4" ht="15">
      <c r="D306" s="6"/>
    </row>
    <row r="307" spans="4:4" ht="15">
      <c r="D307" s="6"/>
    </row>
    <row r="308" spans="4:4" ht="15">
      <c r="D308" s="6"/>
    </row>
    <row r="309" spans="4:4" ht="15">
      <c r="D309" s="6"/>
    </row>
    <row r="310" spans="4:4" ht="15">
      <c r="D310" s="6"/>
    </row>
    <row r="311" spans="4:4" ht="15">
      <c r="D311" s="6"/>
    </row>
    <row r="312" spans="4:4" ht="15">
      <c r="D312" s="6"/>
    </row>
    <row r="313" spans="4:4" ht="15">
      <c r="D313" s="6"/>
    </row>
    <row r="314" spans="4:4" ht="15">
      <c r="D314" s="6"/>
    </row>
    <row r="315" spans="4:4" ht="15">
      <c r="D315" s="6"/>
    </row>
    <row r="316" spans="4:4" ht="15">
      <c r="D316" s="6"/>
    </row>
    <row r="317" spans="4:4" ht="15">
      <c r="D317" s="6"/>
    </row>
    <row r="318" spans="4:4" ht="15">
      <c r="D318" s="6"/>
    </row>
    <row r="319" spans="4:4" ht="15">
      <c r="D319" s="6"/>
    </row>
    <row r="320" spans="4:4" ht="15">
      <c r="D320" s="6"/>
    </row>
    <row r="321" spans="4:4" ht="15">
      <c r="D321" s="6"/>
    </row>
    <row r="322" spans="4:4" ht="15">
      <c r="D322" s="6"/>
    </row>
    <row r="323" spans="4:4" ht="15">
      <c r="D323" s="6"/>
    </row>
    <row r="324" spans="4:4" ht="15">
      <c r="D324" s="6"/>
    </row>
    <row r="325" spans="4:4" ht="15">
      <c r="D325" s="6"/>
    </row>
    <row r="326" spans="4:4" ht="15">
      <c r="D326" s="6"/>
    </row>
    <row r="327" spans="4:4" ht="15">
      <c r="D327" s="6"/>
    </row>
    <row r="328" spans="4:4" ht="15">
      <c r="D328" s="6"/>
    </row>
    <row r="329" spans="4:4" ht="15">
      <c r="D329" s="6"/>
    </row>
    <row r="330" spans="4:4" ht="15">
      <c r="D330" s="6"/>
    </row>
    <row r="331" spans="4:4" ht="15">
      <c r="D331" s="6"/>
    </row>
    <row r="332" spans="4:4" ht="15">
      <c r="D332" s="6"/>
    </row>
    <row r="333" spans="4:4" ht="15">
      <c r="D333" s="6"/>
    </row>
    <row r="334" spans="4:4" ht="15">
      <c r="D334" s="6"/>
    </row>
    <row r="335" spans="4:4" ht="15">
      <c r="D335" s="6"/>
    </row>
    <row r="336" spans="4:4" ht="15">
      <c r="D336" s="6"/>
    </row>
    <row r="337" spans="4:4" ht="15">
      <c r="D337" s="6"/>
    </row>
    <row r="338" spans="4:4" ht="15">
      <c r="D338" s="6"/>
    </row>
    <row r="339" spans="4:4" ht="15">
      <c r="D339" s="6"/>
    </row>
    <row r="340" spans="4:4" ht="15">
      <c r="D340" s="6"/>
    </row>
    <row r="341" spans="4:4" ht="15">
      <c r="D341" s="6"/>
    </row>
    <row r="342" spans="4:4" ht="15">
      <c r="D342" s="6"/>
    </row>
    <row r="343" spans="4:4" ht="15">
      <c r="D343" s="6"/>
    </row>
    <row r="344" spans="4:4" ht="15">
      <c r="D344" s="6"/>
    </row>
    <row r="345" spans="4:4" ht="15">
      <c r="D345" s="6"/>
    </row>
    <row r="346" spans="4:4" ht="15">
      <c r="D346" s="6"/>
    </row>
    <row r="347" spans="4:4" ht="15">
      <c r="D347" s="6"/>
    </row>
    <row r="348" spans="4:4" ht="15">
      <c r="D348" s="6"/>
    </row>
    <row r="349" spans="4:4" ht="15">
      <c r="D349" s="6"/>
    </row>
    <row r="350" spans="4:4" ht="15">
      <c r="D350" s="6"/>
    </row>
    <row r="351" spans="4:4" ht="15">
      <c r="D351" s="6"/>
    </row>
    <row r="352" spans="4:4" ht="15">
      <c r="D352" s="6"/>
    </row>
    <row r="353" spans="4:4" ht="15">
      <c r="D353" s="6"/>
    </row>
    <row r="354" spans="4:4" ht="15">
      <c r="D354" s="6"/>
    </row>
    <row r="355" spans="4:4" ht="15">
      <c r="D355" s="6"/>
    </row>
    <row r="356" spans="4:4" ht="15">
      <c r="D356" s="6"/>
    </row>
    <row r="357" spans="4:4" ht="15">
      <c r="D357" s="6"/>
    </row>
    <row r="358" spans="4:4" ht="15">
      <c r="D358" s="6"/>
    </row>
    <row r="359" spans="4:4" ht="15">
      <c r="D359" s="6"/>
    </row>
    <row r="360" spans="4:4" ht="15">
      <c r="D360" s="6"/>
    </row>
    <row r="361" spans="4:4" ht="15">
      <c r="D361" s="6"/>
    </row>
    <row r="362" spans="4:4" ht="15">
      <c r="D362" s="6"/>
    </row>
    <row r="363" spans="4:4" ht="15">
      <c r="D363" s="6"/>
    </row>
    <row r="364" spans="4:4" ht="15">
      <c r="D364" s="6"/>
    </row>
    <row r="365" spans="4:4" ht="15">
      <c r="D365" s="6"/>
    </row>
    <row r="366" spans="4:4" ht="15">
      <c r="D366" s="6"/>
    </row>
    <row r="367" spans="4:4" ht="15">
      <c r="D367" s="6"/>
    </row>
    <row r="368" spans="4:4" ht="15">
      <c r="D368" s="6"/>
    </row>
    <row r="369" spans="4:4" ht="15">
      <c r="D369" s="6"/>
    </row>
    <row r="370" spans="4:4" ht="15">
      <c r="D370" s="6"/>
    </row>
    <row r="371" spans="4:4" ht="15">
      <c r="D371" s="6"/>
    </row>
    <row r="372" spans="4:4" ht="15">
      <c r="D372" s="6"/>
    </row>
    <row r="373" spans="4:4" ht="15">
      <c r="D373" s="6"/>
    </row>
    <row r="374" spans="4:4" ht="15">
      <c r="D374" s="6"/>
    </row>
    <row r="375" spans="4:4" ht="15">
      <c r="D375" s="6"/>
    </row>
    <row r="376" spans="4:4" ht="15">
      <c r="D376" s="6"/>
    </row>
    <row r="377" spans="4:4" ht="15">
      <c r="D377" s="6"/>
    </row>
    <row r="378" spans="4:4" ht="15">
      <c r="D378" s="6"/>
    </row>
    <row r="379" spans="4:4" ht="15">
      <c r="D379" s="6"/>
    </row>
    <row r="380" spans="4:4" ht="15">
      <c r="D380" s="6"/>
    </row>
    <row r="381" spans="4:4" ht="15">
      <c r="D381" s="6"/>
    </row>
    <row r="382" spans="4:4" ht="15">
      <c r="D382" s="6"/>
    </row>
    <row r="383" spans="4:4" ht="15">
      <c r="D383" s="6"/>
    </row>
    <row r="384" spans="4:4" ht="15">
      <c r="D384" s="6"/>
    </row>
    <row r="385" spans="4:4" ht="15">
      <c r="D385" s="6"/>
    </row>
    <row r="386" spans="4:4" ht="15">
      <c r="D386" s="6"/>
    </row>
    <row r="387" spans="4:4" ht="15">
      <c r="D387" s="6"/>
    </row>
    <row r="388" spans="4:4" ht="15">
      <c r="D388" s="6"/>
    </row>
    <row r="389" spans="4:4" ht="15">
      <c r="D389" s="6"/>
    </row>
    <row r="390" spans="4:4" ht="15">
      <c r="D390" s="6"/>
    </row>
    <row r="391" spans="4:4" ht="15">
      <c r="D391" s="6"/>
    </row>
    <row r="392" spans="4:4" ht="15">
      <c r="D392" s="6"/>
    </row>
    <row r="393" spans="4:4" ht="15">
      <c r="D393" s="6"/>
    </row>
    <row r="394" spans="4:4" ht="15">
      <c r="D394" s="6"/>
    </row>
    <row r="395" spans="4:4" ht="15">
      <c r="D395" s="6"/>
    </row>
    <row r="396" spans="4:4" ht="15">
      <c r="D396" s="6"/>
    </row>
    <row r="397" spans="4:4" ht="15">
      <c r="D397" s="6"/>
    </row>
    <row r="398" spans="4:4" ht="15">
      <c r="D398" s="6"/>
    </row>
    <row r="399" spans="4:4" ht="15">
      <c r="D399" s="6"/>
    </row>
    <row r="400" spans="4:4" ht="15">
      <c r="D400" s="6"/>
    </row>
    <row r="401" spans="4:4" ht="15">
      <c r="D401" s="6"/>
    </row>
    <row r="402" spans="4:4" ht="15">
      <c r="D402" s="6"/>
    </row>
    <row r="403" spans="4:4" ht="15">
      <c r="D403" s="6"/>
    </row>
    <row r="404" spans="4:4" ht="15">
      <c r="D404" s="6"/>
    </row>
    <row r="405" spans="4:4" ht="15">
      <c r="D405" s="6"/>
    </row>
    <row r="406" spans="4:4" ht="15">
      <c r="D406" s="6"/>
    </row>
    <row r="407" spans="4:4" ht="15">
      <c r="D407" s="6"/>
    </row>
    <row r="408" spans="4:4" ht="15">
      <c r="D408" s="6"/>
    </row>
    <row r="409" spans="4:4" ht="15">
      <c r="D409" s="6"/>
    </row>
    <row r="410" spans="4:4" ht="15">
      <c r="D410" s="6"/>
    </row>
    <row r="411" spans="4:4" ht="15">
      <c r="D411" s="6"/>
    </row>
    <row r="412" spans="4:4" ht="15">
      <c r="D412" s="6"/>
    </row>
    <row r="413" spans="4:4" ht="15">
      <c r="D413" s="6"/>
    </row>
    <row r="414" spans="4:4" ht="15">
      <c r="D414" s="6"/>
    </row>
    <row r="415" spans="4:4" ht="15">
      <c r="D415" s="6"/>
    </row>
    <row r="416" spans="4:4" ht="15">
      <c r="D416" s="6"/>
    </row>
    <row r="417" spans="4:4" ht="15">
      <c r="D417" s="6"/>
    </row>
    <row r="418" spans="4:4" ht="15">
      <c r="D418" s="6"/>
    </row>
    <row r="419" spans="4:4" ht="15">
      <c r="D419" s="6"/>
    </row>
    <row r="420" spans="4:4" ht="15">
      <c r="D420" s="6"/>
    </row>
    <row r="421" spans="4:4" ht="15">
      <c r="D421" s="6"/>
    </row>
    <row r="422" spans="4:4" ht="15">
      <c r="D422" s="6"/>
    </row>
    <row r="423" spans="4:4" ht="15">
      <c r="D423" s="6"/>
    </row>
    <row r="424" spans="4:4" ht="15">
      <c r="D424" s="6"/>
    </row>
    <row r="425" spans="4:4" ht="15">
      <c r="D425" s="6"/>
    </row>
    <row r="426" spans="4:4" ht="15">
      <c r="D426" s="6"/>
    </row>
    <row r="427" spans="4:4" ht="15">
      <c r="D427" s="6"/>
    </row>
    <row r="428" spans="4:4" ht="15">
      <c r="D428" s="6"/>
    </row>
    <row r="429" spans="4:4" ht="15">
      <c r="D429" s="6"/>
    </row>
    <row r="430" spans="4:4" ht="15">
      <c r="D430" s="6"/>
    </row>
    <row r="431" spans="4:4" ht="15">
      <c r="D431" s="6"/>
    </row>
    <row r="432" spans="4:4" ht="15">
      <c r="D432" s="6"/>
    </row>
    <row r="433" spans="4:4" ht="15">
      <c r="D433" s="6"/>
    </row>
    <row r="434" spans="4:4" ht="15">
      <c r="D434" s="6"/>
    </row>
    <row r="435" spans="4:4" ht="15">
      <c r="D435" s="6"/>
    </row>
    <row r="436" spans="4:4" ht="15">
      <c r="D436" s="6"/>
    </row>
    <row r="437" spans="4:4" ht="15">
      <c r="D437" s="6"/>
    </row>
    <row r="438" spans="4:4" ht="15">
      <c r="D438" s="6"/>
    </row>
    <row r="439" spans="4:4" ht="15">
      <c r="D439" s="6"/>
    </row>
    <row r="440" spans="4:4" ht="15">
      <c r="D440" s="6"/>
    </row>
    <row r="441" spans="4:4" ht="15">
      <c r="D441" s="6"/>
    </row>
    <row r="442" spans="4:4" ht="15">
      <c r="D442" s="6"/>
    </row>
    <row r="443" spans="4:4" ht="15">
      <c r="D443" s="6"/>
    </row>
    <row r="444" spans="4:4" ht="15">
      <c r="D444" s="6"/>
    </row>
    <row r="445" spans="4:4" ht="15">
      <c r="D445" s="6"/>
    </row>
    <row r="446" spans="4:4" ht="15">
      <c r="D446" s="6"/>
    </row>
    <row r="447" spans="4:4" ht="15">
      <c r="D447" s="6"/>
    </row>
    <row r="448" spans="4:4" ht="15">
      <c r="D448" s="6"/>
    </row>
    <row r="449" spans="4:4" ht="15">
      <c r="D449" s="6"/>
    </row>
    <row r="450" spans="4:4" ht="15">
      <c r="D450" s="6"/>
    </row>
    <row r="451" spans="4:4" ht="15">
      <c r="D451" s="6"/>
    </row>
    <row r="452" spans="4:4" ht="15">
      <c r="D452" s="6"/>
    </row>
    <row r="453" spans="4:4" ht="15">
      <c r="D453" s="6"/>
    </row>
    <row r="454" spans="4:4" ht="15">
      <c r="D454" s="6"/>
    </row>
    <row r="455" spans="4:4" ht="15">
      <c r="D455" s="6"/>
    </row>
    <row r="456" spans="4:4" ht="15">
      <c r="D456" s="6"/>
    </row>
    <row r="457" spans="4:4" ht="15">
      <c r="D457" s="6"/>
    </row>
    <row r="458" spans="4:4" ht="15">
      <c r="D458" s="6"/>
    </row>
    <row r="459" spans="4:4" ht="15">
      <c r="D459" s="6"/>
    </row>
    <row r="460" spans="4:4" ht="15">
      <c r="D460" s="6"/>
    </row>
    <row r="461" spans="4:4" ht="15">
      <c r="D461" s="6"/>
    </row>
    <row r="462" spans="4:4" ht="15">
      <c r="D462" s="6"/>
    </row>
    <row r="463" spans="4:4" ht="15">
      <c r="D463" s="6"/>
    </row>
    <row r="464" spans="4:4" ht="15">
      <c r="D464" s="6"/>
    </row>
    <row r="465" spans="4:4" ht="15">
      <c r="D465" s="6"/>
    </row>
    <row r="466" spans="4:4" ht="15">
      <c r="D466" s="6"/>
    </row>
    <row r="467" spans="4:4" ht="15">
      <c r="D467" s="6"/>
    </row>
    <row r="468" spans="4:4" ht="15">
      <c r="D468" s="6"/>
    </row>
    <row r="469" spans="4:4" ht="15">
      <c r="D469" s="6"/>
    </row>
    <row r="470" spans="4:4" ht="15">
      <c r="D470" s="6"/>
    </row>
    <row r="471" spans="4:4" ht="15">
      <c r="D471" s="6"/>
    </row>
    <row r="472" spans="4:4" ht="15">
      <c r="D472" s="6"/>
    </row>
    <row r="473" spans="4:4" ht="15">
      <c r="D473" s="6"/>
    </row>
    <row r="474" spans="4:4" ht="15">
      <c r="D474" s="6"/>
    </row>
    <row r="475" spans="4:4" ht="15">
      <c r="D475" s="6"/>
    </row>
    <row r="476" spans="4:4" ht="15">
      <c r="D476" s="6"/>
    </row>
    <row r="477" spans="4:4" ht="15">
      <c r="D477" s="6"/>
    </row>
    <row r="478" spans="4:4" ht="15">
      <c r="D478" s="6"/>
    </row>
    <row r="479" spans="4:4" ht="15">
      <c r="D479" s="6"/>
    </row>
    <row r="480" spans="4:4" ht="15">
      <c r="D480" s="6"/>
    </row>
    <row r="481" spans="4:4" ht="15">
      <c r="D481" s="6"/>
    </row>
    <row r="482" spans="4:4" ht="15">
      <c r="D482" s="6"/>
    </row>
    <row r="483" spans="4:4" ht="15">
      <c r="D483" s="6"/>
    </row>
    <row r="484" spans="4:4" ht="15">
      <c r="D484" s="6"/>
    </row>
    <row r="485" spans="4:4" ht="15">
      <c r="D485" s="6"/>
    </row>
    <row r="486" spans="4:4" ht="15">
      <c r="D486" s="6"/>
    </row>
    <row r="487" spans="4:4" ht="15">
      <c r="D487" s="6"/>
    </row>
    <row r="488" spans="4:4" ht="15">
      <c r="D488" s="6"/>
    </row>
    <row r="489" spans="4:4" ht="15">
      <c r="D489" s="6"/>
    </row>
    <row r="490" spans="4:4" ht="15">
      <c r="D490" s="6"/>
    </row>
    <row r="491" spans="4:4" ht="15">
      <c r="D491" s="6"/>
    </row>
    <row r="492" spans="4:4" ht="15">
      <c r="D492" s="6"/>
    </row>
    <row r="493" spans="4:4" ht="15">
      <c r="D493" s="6"/>
    </row>
    <row r="494" spans="4:4" ht="15">
      <c r="D494" s="6"/>
    </row>
    <row r="495" spans="4:4" ht="15">
      <c r="D495" s="6"/>
    </row>
    <row r="496" spans="4:4" ht="15">
      <c r="D496" s="6"/>
    </row>
    <row r="497" spans="4:4" ht="15">
      <c r="D497" s="6"/>
    </row>
    <row r="498" spans="4:4" ht="15">
      <c r="D498" s="6"/>
    </row>
    <row r="499" spans="4:4" ht="15">
      <c r="D499" s="6"/>
    </row>
    <row r="500" spans="4:4" ht="15">
      <c r="D500" s="6"/>
    </row>
    <row r="501" spans="4:4" ht="15">
      <c r="D501" s="6"/>
    </row>
    <row r="502" spans="4:4" ht="15">
      <c r="D502" s="6"/>
    </row>
    <row r="503" spans="4:4" ht="15">
      <c r="D503" s="6"/>
    </row>
    <row r="504" spans="4:4" ht="15">
      <c r="D504" s="6"/>
    </row>
    <row r="505" spans="4:4" ht="15">
      <c r="D505" s="6"/>
    </row>
    <row r="506" spans="4:4" ht="15">
      <c r="D506" s="6"/>
    </row>
    <row r="507" spans="4:4" ht="15">
      <c r="D507" s="6"/>
    </row>
    <row r="508" spans="4:4" ht="15">
      <c r="D508" s="6"/>
    </row>
    <row r="509" spans="4:4" ht="15">
      <c r="D509" s="6"/>
    </row>
    <row r="510" spans="4:4" ht="15">
      <c r="D510" s="6"/>
    </row>
    <row r="511" spans="4:4" ht="15">
      <c r="D511" s="6"/>
    </row>
    <row r="512" spans="4:4" ht="15">
      <c r="D512" s="6"/>
    </row>
    <row r="513" spans="4:4" ht="15">
      <c r="D513" s="6"/>
    </row>
    <row r="514" spans="4:4" ht="15">
      <c r="D514" s="6"/>
    </row>
    <row r="515" spans="4:4" ht="15">
      <c r="D515" s="6"/>
    </row>
    <row r="516" spans="4:4" ht="15">
      <c r="D516" s="6"/>
    </row>
    <row r="517" spans="4:4" ht="15">
      <c r="D517" s="6"/>
    </row>
    <row r="518" spans="4:4" ht="15">
      <c r="D518" s="6"/>
    </row>
    <row r="519" spans="4:4" ht="15">
      <c r="D519" s="6"/>
    </row>
    <row r="520" spans="4:4" ht="15">
      <c r="D520" s="6"/>
    </row>
    <row r="521" spans="4:4" ht="15">
      <c r="D521" s="6"/>
    </row>
    <row r="522" spans="4:4" ht="15">
      <c r="D522" s="6"/>
    </row>
    <row r="523" spans="4:4" ht="15">
      <c r="D523" s="6"/>
    </row>
    <row r="524" spans="4:4" ht="15">
      <c r="D524" s="6"/>
    </row>
    <row r="525" spans="4:4" ht="15">
      <c r="D525" s="6"/>
    </row>
    <row r="526" spans="4:4" ht="15">
      <c r="D526" s="6"/>
    </row>
    <row r="527" spans="4:4" ht="15">
      <c r="D527" s="6"/>
    </row>
    <row r="528" spans="4:4" ht="15">
      <c r="D528" s="6"/>
    </row>
    <row r="529" spans="4:4" ht="15">
      <c r="D529" s="6"/>
    </row>
    <row r="530" spans="4:4" ht="15">
      <c r="D530" s="6"/>
    </row>
    <row r="531" spans="4:4" ht="15">
      <c r="D531" s="6"/>
    </row>
    <row r="532" spans="4:4" ht="15">
      <c r="D532" s="6"/>
    </row>
    <row r="533" spans="4:4" ht="15">
      <c r="D533" s="6"/>
    </row>
    <row r="534" spans="4:4" ht="15">
      <c r="D534" s="6"/>
    </row>
    <row r="535" spans="4:4" ht="15">
      <c r="D535" s="6"/>
    </row>
    <row r="536" spans="4:4" ht="15">
      <c r="D536" s="6"/>
    </row>
    <row r="537" spans="4:4" ht="15">
      <c r="D537" s="6"/>
    </row>
    <row r="538" spans="4:4" ht="15">
      <c r="D538" s="6"/>
    </row>
    <row r="539" spans="4:4" ht="15">
      <c r="D539" s="6"/>
    </row>
    <row r="540" spans="4:4" ht="15">
      <c r="D540" s="6"/>
    </row>
    <row r="541" spans="4:4" ht="15">
      <c r="D541" s="6"/>
    </row>
    <row r="542" spans="4:4" ht="15">
      <c r="D542" s="6"/>
    </row>
    <row r="543" spans="4:4" ht="15">
      <c r="D543" s="6"/>
    </row>
    <row r="544" spans="4:4" ht="15">
      <c r="D544" s="6"/>
    </row>
    <row r="545" spans="4:4" ht="15">
      <c r="D545" s="6"/>
    </row>
    <row r="546" spans="4:4" ht="15">
      <c r="D546" s="6"/>
    </row>
    <row r="547" spans="4:4" ht="15">
      <c r="D547" s="6"/>
    </row>
    <row r="548" spans="4:4" ht="15">
      <c r="D548" s="6"/>
    </row>
    <row r="549" spans="4:4" ht="15">
      <c r="D549" s="6"/>
    </row>
    <row r="550" spans="4:4" ht="15">
      <c r="D550" s="6"/>
    </row>
    <row r="551" spans="4:4" ht="15">
      <c r="D551" s="6"/>
    </row>
    <row r="552" spans="4:4" ht="15">
      <c r="D552" s="6"/>
    </row>
    <row r="553" spans="4:4" ht="15">
      <c r="D553" s="6"/>
    </row>
    <row r="554" spans="4:4" ht="15">
      <c r="D554" s="6"/>
    </row>
    <row r="555" spans="4:4" ht="15">
      <c r="D555" s="6"/>
    </row>
    <row r="556" spans="4:4" ht="15">
      <c r="D556" s="6"/>
    </row>
    <row r="557" spans="4:4" ht="15">
      <c r="D557" s="6"/>
    </row>
    <row r="558" spans="4:4" ht="15">
      <c r="D558" s="6"/>
    </row>
    <row r="559" spans="4:4" ht="15">
      <c r="D559" s="6"/>
    </row>
    <row r="560" spans="4:4" ht="15">
      <c r="D560" s="6"/>
    </row>
    <row r="561" spans="4:4" ht="15">
      <c r="D561" s="6"/>
    </row>
    <row r="562" spans="4:4" ht="15">
      <c r="D562" s="6"/>
    </row>
    <row r="563" spans="4:4" ht="15">
      <c r="D563" s="6"/>
    </row>
    <row r="564" spans="4:4" ht="15">
      <c r="D564" s="6"/>
    </row>
    <row r="565" spans="4:4" ht="15">
      <c r="D565" s="6"/>
    </row>
    <row r="566" spans="4:4" ht="15">
      <c r="D566" s="6"/>
    </row>
    <row r="567" spans="4:4" ht="15">
      <c r="D567" s="6"/>
    </row>
    <row r="568" spans="4:4" ht="15">
      <c r="D568" s="6"/>
    </row>
    <row r="569" spans="4:4" ht="15">
      <c r="D569" s="6"/>
    </row>
    <row r="570" spans="4:4" ht="15">
      <c r="D570" s="6"/>
    </row>
    <row r="571" spans="4:4" ht="15">
      <c r="D571" s="6"/>
    </row>
    <row r="572" spans="4:4" ht="15">
      <c r="D572" s="6"/>
    </row>
    <row r="573" spans="4:4" ht="15">
      <c r="D573" s="6"/>
    </row>
    <row r="574" spans="4:4" ht="15">
      <c r="D574" s="6"/>
    </row>
    <row r="575" spans="4:4" ht="15">
      <c r="D575" s="6"/>
    </row>
    <row r="576" spans="4:4" ht="15">
      <c r="D576" s="6"/>
    </row>
    <row r="577" spans="4:4" ht="15">
      <c r="D577" s="6"/>
    </row>
    <row r="578" spans="4:4" ht="15">
      <c r="D578" s="6"/>
    </row>
    <row r="579" spans="4:4" ht="15">
      <c r="D579" s="6"/>
    </row>
    <row r="580" spans="4:4" ht="15">
      <c r="D580" s="6"/>
    </row>
    <row r="581" spans="4:4" ht="15">
      <c r="D581" s="6"/>
    </row>
    <row r="582" spans="4:4" ht="15">
      <c r="D582" s="6"/>
    </row>
    <row r="583" spans="4:4" ht="15">
      <c r="D583" s="6"/>
    </row>
    <row r="584" spans="4:4" ht="15">
      <c r="D584" s="6"/>
    </row>
    <row r="585" spans="4:4" ht="15">
      <c r="D585" s="6"/>
    </row>
    <row r="586" spans="4:4" ht="15">
      <c r="D586" s="6"/>
    </row>
    <row r="587" spans="4:4" ht="15">
      <c r="D587" s="6"/>
    </row>
    <row r="588" spans="4:4" ht="15">
      <c r="D588" s="6"/>
    </row>
    <row r="589" spans="4:4" ht="15">
      <c r="D589" s="6"/>
    </row>
    <row r="590" spans="4:4" ht="15">
      <c r="D590" s="6"/>
    </row>
    <row r="591" spans="4:4" ht="15">
      <c r="D591" s="6"/>
    </row>
    <row r="592" spans="4:4" ht="15">
      <c r="D592" s="6"/>
    </row>
    <row r="593" spans="4:4" ht="15">
      <c r="D593" s="6"/>
    </row>
    <row r="594" spans="4:4" ht="15">
      <c r="D594" s="6"/>
    </row>
    <row r="595" spans="4:4" ht="15">
      <c r="D595" s="6"/>
    </row>
    <row r="596" spans="4:4" ht="15">
      <c r="D596" s="6"/>
    </row>
    <row r="597" spans="4:4" ht="15">
      <c r="D597" s="6"/>
    </row>
    <row r="598" spans="4:4" ht="15">
      <c r="D598" s="6"/>
    </row>
    <row r="599" spans="4:4" ht="15">
      <c r="D599" s="6"/>
    </row>
    <row r="600" spans="4:4" ht="15">
      <c r="D600" s="6"/>
    </row>
    <row r="601" spans="4:4" ht="15">
      <c r="D601" s="6"/>
    </row>
    <row r="602" spans="4:4" ht="15">
      <c r="D602" s="6"/>
    </row>
    <row r="603" spans="4:4" ht="15">
      <c r="D603" s="6"/>
    </row>
    <row r="604" spans="4:4" ht="15">
      <c r="D604" s="6"/>
    </row>
    <row r="605" spans="4:4" ht="15">
      <c r="D605" s="6"/>
    </row>
    <row r="606" spans="4:4" ht="15">
      <c r="D606" s="6"/>
    </row>
    <row r="607" spans="4:4" ht="15">
      <c r="D607" s="6"/>
    </row>
    <row r="608" spans="4:4" ht="15">
      <c r="D608" s="6"/>
    </row>
    <row r="609" spans="4:4" ht="15">
      <c r="D609" s="6"/>
    </row>
    <row r="610" spans="4:4" ht="15">
      <c r="D610" s="6"/>
    </row>
    <row r="611" spans="4:4" ht="15">
      <c r="D611" s="6"/>
    </row>
    <row r="612" spans="4:4" ht="15">
      <c r="D612" s="6"/>
    </row>
    <row r="613" spans="4:4" ht="15">
      <c r="D613" s="6"/>
    </row>
    <row r="614" spans="4:4" ht="15">
      <c r="D614" s="6"/>
    </row>
    <row r="615" spans="4:4" ht="15">
      <c r="D615" s="6"/>
    </row>
    <row r="616" spans="4:4" ht="15">
      <c r="D616" s="6"/>
    </row>
    <row r="617" spans="4:4" ht="15">
      <c r="D617" s="6"/>
    </row>
    <row r="618" spans="4:4" ht="15">
      <c r="D618" s="6"/>
    </row>
    <row r="619" spans="4:4" ht="15">
      <c r="D619" s="6"/>
    </row>
    <row r="620" spans="4:4" ht="15">
      <c r="D620" s="6"/>
    </row>
    <row r="621" spans="4:4" ht="15">
      <c r="D621" s="6"/>
    </row>
    <row r="622" spans="4:4" ht="15">
      <c r="D622" s="6"/>
    </row>
    <row r="623" spans="4:4" ht="15">
      <c r="D623" s="6"/>
    </row>
    <row r="624" spans="4:4" ht="15">
      <c r="D624" s="6"/>
    </row>
    <row r="625" spans="4:4" ht="15">
      <c r="D625" s="6"/>
    </row>
    <row r="626" spans="4:4" ht="15">
      <c r="D626" s="6"/>
    </row>
    <row r="627" spans="4:4" ht="15">
      <c r="D627" s="6"/>
    </row>
    <row r="628" spans="4:4" ht="15">
      <c r="D628" s="6"/>
    </row>
    <row r="629" spans="4:4" ht="15">
      <c r="D629" s="6"/>
    </row>
    <row r="630" spans="4:4" ht="15">
      <c r="D630" s="6"/>
    </row>
    <row r="631" spans="4:4" ht="15">
      <c r="D631" s="6"/>
    </row>
    <row r="632" spans="4:4" ht="15">
      <c r="D632" s="6"/>
    </row>
    <row r="633" spans="4:4" ht="15">
      <c r="D633" s="6"/>
    </row>
    <row r="634" spans="4:4" ht="15">
      <c r="D634" s="6"/>
    </row>
    <row r="635" spans="4:4" ht="15">
      <c r="D635" s="6"/>
    </row>
    <row r="636" spans="4:4" ht="15">
      <c r="D636" s="6"/>
    </row>
    <row r="637" spans="4:4" ht="15">
      <c r="D637" s="6"/>
    </row>
    <row r="638" spans="4:4" ht="15">
      <c r="D638" s="6"/>
    </row>
    <row r="639" spans="4:4" ht="15">
      <c r="D639" s="6"/>
    </row>
    <row r="640" spans="4:4" ht="15">
      <c r="D640" s="6"/>
    </row>
    <row r="641" spans="4:4" ht="15">
      <c r="D641" s="6"/>
    </row>
    <row r="642" spans="4:4" ht="15">
      <c r="D642" s="6"/>
    </row>
    <row r="643" spans="4:4" ht="15">
      <c r="D643" s="6"/>
    </row>
    <row r="644" spans="4:4" ht="15">
      <c r="D644" s="6"/>
    </row>
    <row r="645" spans="4:4" ht="15">
      <c r="D645" s="6"/>
    </row>
    <row r="646" spans="4:4" ht="15">
      <c r="D646" s="6"/>
    </row>
    <row r="647" spans="4:4" ht="15">
      <c r="D647" s="6"/>
    </row>
    <row r="648" spans="4:4" ht="15">
      <c r="D648" s="6"/>
    </row>
    <row r="649" spans="4:4" ht="15">
      <c r="D649" s="6"/>
    </row>
    <row r="650" spans="4:4" ht="15">
      <c r="D650" s="6"/>
    </row>
    <row r="651" spans="4:4" ht="15">
      <c r="D651" s="6"/>
    </row>
    <row r="652" spans="4:4" ht="15">
      <c r="D652" s="6"/>
    </row>
    <row r="653" spans="4:4" ht="15">
      <c r="D653" s="6"/>
    </row>
    <row r="654" spans="4:4" ht="15">
      <c r="D654" s="6"/>
    </row>
    <row r="655" spans="4:4" ht="15">
      <c r="D655" s="6"/>
    </row>
    <row r="656" spans="4:4" ht="15">
      <c r="D656" s="6"/>
    </row>
    <row r="657" spans="4:4" ht="15">
      <c r="D657" s="6"/>
    </row>
    <row r="658" spans="4:4" ht="15">
      <c r="D658" s="6"/>
    </row>
    <row r="659" spans="4:4" ht="15">
      <c r="D659" s="6"/>
    </row>
    <row r="660" spans="4:4" ht="15">
      <c r="D660" s="6"/>
    </row>
    <row r="661" spans="4:4" ht="15">
      <c r="D661" s="6"/>
    </row>
    <row r="662" spans="4:4" ht="15">
      <c r="D662" s="6"/>
    </row>
    <row r="663" spans="4:4" ht="15">
      <c r="D663" s="6"/>
    </row>
    <row r="664" spans="4:4" ht="15">
      <c r="D664" s="6"/>
    </row>
    <row r="665" spans="4:4" ht="15">
      <c r="D665" s="6"/>
    </row>
    <row r="666" spans="4:4" ht="15">
      <c r="D666" s="6"/>
    </row>
    <row r="667" spans="4:4" ht="15">
      <c r="D667" s="6"/>
    </row>
    <row r="668" spans="4:4" ht="15">
      <c r="D668" s="6"/>
    </row>
    <row r="669" spans="4:4" ht="15">
      <c r="D669" s="6"/>
    </row>
    <row r="670" spans="4:4" ht="15">
      <c r="D670" s="6"/>
    </row>
    <row r="671" spans="4:4" ht="15">
      <c r="D671" s="6"/>
    </row>
    <row r="672" spans="4:4" ht="15">
      <c r="D672" s="6"/>
    </row>
    <row r="673" spans="4:4" ht="15">
      <c r="D673" s="6"/>
    </row>
    <row r="674" spans="4:4" ht="15">
      <c r="D674" s="6"/>
    </row>
    <row r="675" spans="4:4" ht="15">
      <c r="D675" s="6"/>
    </row>
    <row r="676" spans="4:4" ht="15">
      <c r="D676" s="6"/>
    </row>
    <row r="677" spans="4:4" ht="15">
      <c r="D677" s="6"/>
    </row>
    <row r="678" spans="4:4" ht="15">
      <c r="D678" s="6"/>
    </row>
    <row r="679" spans="4:4" ht="15">
      <c r="D679" s="6"/>
    </row>
    <row r="680" spans="4:4" ht="15">
      <c r="D680" s="6"/>
    </row>
    <row r="681" spans="4:4" ht="15">
      <c r="D681" s="6"/>
    </row>
    <row r="682" spans="4:4" ht="15">
      <c r="D682" s="6"/>
    </row>
    <row r="683" spans="4:4" ht="15">
      <c r="D683" s="6"/>
    </row>
    <row r="684" spans="4:4" ht="15">
      <c r="D684" s="6"/>
    </row>
    <row r="685" spans="4:4" ht="15">
      <c r="D685" s="6"/>
    </row>
    <row r="686" spans="4:4" ht="15">
      <c r="D686" s="6"/>
    </row>
    <row r="687" spans="4:4" ht="15">
      <c r="D687" s="6"/>
    </row>
    <row r="688" spans="4:4" ht="15">
      <c r="D688" s="6"/>
    </row>
    <row r="689" spans="4:4" ht="15">
      <c r="D689" s="6"/>
    </row>
    <row r="690" spans="4:4" ht="15">
      <c r="D690" s="6"/>
    </row>
    <row r="691" spans="4:4" ht="15">
      <c r="D691" s="6"/>
    </row>
    <row r="692" spans="4:4" ht="15">
      <c r="D692" s="6"/>
    </row>
    <row r="693" spans="4:4" ht="15">
      <c r="D693" s="6"/>
    </row>
    <row r="694" spans="4:4" ht="15">
      <c r="D694" s="6"/>
    </row>
    <row r="695" spans="4:4" ht="15">
      <c r="D695" s="6"/>
    </row>
    <row r="696" spans="4:4" ht="15">
      <c r="D696" s="6"/>
    </row>
    <row r="697" spans="4:4" ht="15">
      <c r="D697" s="6"/>
    </row>
    <row r="698" spans="4:4" ht="15">
      <c r="D698" s="6"/>
    </row>
    <row r="699" spans="4:4" ht="15">
      <c r="D699" s="6"/>
    </row>
    <row r="700" spans="4:4" ht="15">
      <c r="D700" s="6"/>
    </row>
    <row r="701" spans="4:4" ht="15">
      <c r="D701" s="6"/>
    </row>
    <row r="702" spans="4:4" ht="15">
      <c r="D702" s="6"/>
    </row>
    <row r="703" spans="4:4" ht="15">
      <c r="D703" s="6"/>
    </row>
    <row r="704" spans="4:4" ht="15">
      <c r="D704" s="6"/>
    </row>
    <row r="705" spans="4:4" ht="15">
      <c r="D705" s="6"/>
    </row>
    <row r="706" spans="4:4" ht="15">
      <c r="D706" s="6"/>
    </row>
    <row r="707" spans="4:4" ht="15">
      <c r="D707" s="6"/>
    </row>
    <row r="708" spans="4:4" ht="15">
      <c r="D708" s="6"/>
    </row>
    <row r="709" spans="4:4" ht="15">
      <c r="D709" s="6"/>
    </row>
    <row r="710" spans="4:4" ht="15">
      <c r="D710" s="6"/>
    </row>
    <row r="711" spans="4:4" ht="15">
      <c r="D711" s="6"/>
    </row>
    <row r="712" spans="4:4" ht="15">
      <c r="D712" s="6"/>
    </row>
    <row r="713" spans="4:4" ht="15">
      <c r="D713" s="6"/>
    </row>
    <row r="714" spans="4:4" ht="15">
      <c r="D714" s="6"/>
    </row>
    <row r="715" spans="4:4" ht="15">
      <c r="D715" s="6"/>
    </row>
    <row r="716" spans="4:4" ht="15">
      <c r="D716" s="6"/>
    </row>
    <row r="717" spans="4:4" ht="15">
      <c r="D717" s="6"/>
    </row>
    <row r="718" spans="4:4" ht="15">
      <c r="D718" s="6"/>
    </row>
    <row r="719" spans="4:4" ht="15">
      <c r="D719" s="6"/>
    </row>
    <row r="720" spans="4:4" ht="15">
      <c r="D720" s="6"/>
    </row>
    <row r="721" spans="4:4" ht="15">
      <c r="D721" s="6"/>
    </row>
    <row r="722" spans="4:4" ht="15">
      <c r="D722" s="6"/>
    </row>
    <row r="723" spans="4:4" ht="15">
      <c r="D723" s="6"/>
    </row>
    <row r="724" spans="4:4" ht="15">
      <c r="D724" s="6"/>
    </row>
    <row r="725" spans="4:4" ht="15">
      <c r="D725" s="6"/>
    </row>
    <row r="726" spans="4:4" ht="15">
      <c r="D726" s="6"/>
    </row>
    <row r="727" spans="4:4" ht="15">
      <c r="D727" s="6"/>
    </row>
    <row r="728" spans="4:4" ht="15">
      <c r="D728" s="6"/>
    </row>
    <row r="729" spans="4:4" ht="15">
      <c r="D729" s="6"/>
    </row>
    <row r="730" spans="4:4" ht="15">
      <c r="D730" s="6"/>
    </row>
    <row r="731" spans="4:4" ht="15">
      <c r="D731" s="6"/>
    </row>
    <row r="732" spans="4:4" ht="15">
      <c r="D732" s="6"/>
    </row>
    <row r="733" spans="4:4" ht="15">
      <c r="D733" s="6"/>
    </row>
    <row r="734" spans="4:4" ht="15">
      <c r="D734" s="6"/>
    </row>
    <row r="735" spans="4:4" ht="15">
      <c r="D735" s="6"/>
    </row>
    <row r="736" spans="4:4" ht="15">
      <c r="D736" s="6"/>
    </row>
    <row r="737" spans="4:4" ht="15">
      <c r="D737" s="6"/>
    </row>
    <row r="738" spans="4:4" ht="15">
      <c r="D738" s="6"/>
    </row>
    <row r="739" spans="4:4" ht="15">
      <c r="D739" s="6"/>
    </row>
    <row r="740" spans="4:4" ht="15">
      <c r="D740" s="6"/>
    </row>
    <row r="741" spans="4:4" ht="15">
      <c r="D741" s="6"/>
    </row>
    <row r="742" spans="4:4" ht="15">
      <c r="D742" s="6"/>
    </row>
    <row r="743" spans="4:4" ht="15">
      <c r="D743" s="6"/>
    </row>
    <row r="744" spans="4:4" ht="15">
      <c r="D744" s="6"/>
    </row>
    <row r="745" spans="4:4" ht="15">
      <c r="D745" s="6"/>
    </row>
    <row r="746" spans="4:4" ht="15">
      <c r="D746" s="6"/>
    </row>
    <row r="747" spans="4:4" ht="15">
      <c r="D747" s="6"/>
    </row>
    <row r="748" spans="4:4" ht="15">
      <c r="D748" s="6"/>
    </row>
    <row r="749" spans="4:4" ht="15">
      <c r="D749" s="6"/>
    </row>
    <row r="750" spans="4:4" ht="15">
      <c r="D750" s="6"/>
    </row>
    <row r="751" spans="4:4" ht="15">
      <c r="D751" s="6"/>
    </row>
    <row r="752" spans="4:4" ht="15">
      <c r="D752" s="6"/>
    </row>
    <row r="753" spans="4:4" ht="15">
      <c r="D753" s="6"/>
    </row>
    <row r="754" spans="4:4" ht="15">
      <c r="D754" s="6"/>
    </row>
    <row r="755" spans="4:4" ht="15">
      <c r="D755" s="6"/>
    </row>
    <row r="756" spans="4:4" ht="15">
      <c r="D756" s="6"/>
    </row>
    <row r="757" spans="4:4" ht="15">
      <c r="D757" s="6"/>
    </row>
    <row r="758" spans="4:4" ht="15">
      <c r="D758" s="6"/>
    </row>
    <row r="759" spans="4:4" ht="15">
      <c r="D759" s="6"/>
    </row>
    <row r="760" spans="4:4" ht="15">
      <c r="D760" s="6"/>
    </row>
    <row r="761" spans="4:4" ht="15">
      <c r="D761" s="6"/>
    </row>
    <row r="762" spans="4:4" ht="15">
      <c r="D762" s="6"/>
    </row>
    <row r="763" spans="4:4" ht="15">
      <c r="D763" s="6"/>
    </row>
    <row r="764" spans="4:4" ht="15">
      <c r="D764" s="6"/>
    </row>
    <row r="765" spans="4:4" ht="15">
      <c r="D765" s="6"/>
    </row>
    <row r="766" spans="4:4" ht="15">
      <c r="D766" s="6"/>
    </row>
    <row r="767" spans="4:4" ht="15">
      <c r="D767" s="6"/>
    </row>
    <row r="768" spans="4:4" ht="15">
      <c r="D768" s="6"/>
    </row>
    <row r="769" spans="4:4" ht="15">
      <c r="D769" s="6"/>
    </row>
    <row r="770" spans="4:4" ht="15">
      <c r="D770" s="6"/>
    </row>
    <row r="771" spans="4:4" ht="15">
      <c r="D771" s="6"/>
    </row>
    <row r="772" spans="4:4" ht="15">
      <c r="D772" s="6"/>
    </row>
    <row r="773" spans="4:4" ht="15">
      <c r="D773" s="6"/>
    </row>
    <row r="774" spans="4:4" ht="15">
      <c r="D774" s="6"/>
    </row>
    <row r="775" spans="4:4" ht="15">
      <c r="D775" s="6"/>
    </row>
    <row r="776" spans="4:4" ht="15">
      <c r="D776" s="6"/>
    </row>
    <row r="777" spans="4:4" ht="15">
      <c r="D777" s="6"/>
    </row>
    <row r="778" spans="4:4" ht="15">
      <c r="D778" s="6"/>
    </row>
    <row r="779" spans="4:4" ht="15">
      <c r="D779" s="6"/>
    </row>
    <row r="780" spans="4:4" ht="15">
      <c r="D780" s="6"/>
    </row>
    <row r="781" spans="4:4" ht="15">
      <c r="D781" s="6"/>
    </row>
    <row r="782" spans="4:4" ht="15">
      <c r="D782" s="6"/>
    </row>
    <row r="783" spans="4:4" ht="15">
      <c r="D783" s="6"/>
    </row>
    <row r="784" spans="4:4" ht="15">
      <c r="D784" s="6"/>
    </row>
    <row r="785" spans="4:4" ht="15">
      <c r="D785" s="6"/>
    </row>
    <row r="786" spans="4:4" ht="15">
      <c r="D786" s="6"/>
    </row>
    <row r="787" spans="4:4" ht="15">
      <c r="D787" s="6"/>
    </row>
    <row r="788" spans="4:4" ht="15">
      <c r="D788" s="6"/>
    </row>
    <row r="789" spans="4:4" ht="15">
      <c r="D789" s="6"/>
    </row>
    <row r="790" spans="4:4" ht="15">
      <c r="D790" s="6"/>
    </row>
    <row r="791" spans="4:4" ht="15">
      <c r="D791" s="6"/>
    </row>
    <row r="792" spans="4:4" ht="15">
      <c r="D792" s="6"/>
    </row>
    <row r="793" spans="4:4" ht="15">
      <c r="D793" s="6"/>
    </row>
    <row r="794" spans="4:4" ht="15">
      <c r="D794" s="6"/>
    </row>
    <row r="795" spans="4:4" ht="15">
      <c r="D795" s="6"/>
    </row>
    <row r="796" spans="4:4" ht="15">
      <c r="D796" s="6"/>
    </row>
    <row r="797" spans="4:4" ht="15">
      <c r="D797" s="6"/>
    </row>
    <row r="798" spans="4:4" ht="15">
      <c r="D798" s="6"/>
    </row>
    <row r="799" spans="4:4" ht="15">
      <c r="D799" s="6"/>
    </row>
    <row r="800" spans="4:4" ht="15">
      <c r="D800" s="6"/>
    </row>
    <row r="801" spans="4:4" ht="15">
      <c r="D801" s="6"/>
    </row>
    <row r="802" spans="4:4" ht="15">
      <c r="D802" s="6"/>
    </row>
    <row r="803" spans="4:4" ht="15">
      <c r="D803" s="6"/>
    </row>
    <row r="804" spans="4:4" ht="15">
      <c r="D804" s="6"/>
    </row>
    <row r="805" spans="4:4" ht="15">
      <c r="D805" s="6"/>
    </row>
    <row r="806" spans="4:4" ht="15">
      <c r="D806" s="6"/>
    </row>
    <row r="807" spans="4:4" ht="15">
      <c r="D807" s="6"/>
    </row>
    <row r="808" spans="4:4" ht="15">
      <c r="D808" s="6"/>
    </row>
    <row r="809" spans="4:4" ht="15">
      <c r="D809" s="6"/>
    </row>
    <row r="810" spans="4:4" ht="15">
      <c r="D810" s="6"/>
    </row>
    <row r="811" spans="4:4" ht="15">
      <c r="D811" s="6"/>
    </row>
    <row r="812" spans="4:4" ht="15">
      <c r="D812" s="6"/>
    </row>
    <row r="813" spans="4:4" ht="15">
      <c r="D813" s="6"/>
    </row>
    <row r="814" spans="4:4" ht="15">
      <c r="D814" s="6"/>
    </row>
    <row r="815" spans="4:4" ht="15">
      <c r="D815" s="6"/>
    </row>
    <row r="816" spans="4:4" ht="15">
      <c r="D816" s="6"/>
    </row>
    <row r="817" spans="4:4" ht="15">
      <c r="D817" s="6"/>
    </row>
    <row r="818" spans="4:4" ht="15">
      <c r="D818" s="6"/>
    </row>
    <row r="819" spans="4:4" ht="15">
      <c r="D819" s="6"/>
    </row>
    <row r="820" spans="4:4" ht="15">
      <c r="D820" s="6"/>
    </row>
    <row r="821" spans="4:4" ht="15">
      <c r="D821" s="6"/>
    </row>
    <row r="822" spans="4:4" ht="15">
      <c r="D822" s="6"/>
    </row>
    <row r="823" spans="4:4" ht="15">
      <c r="D823" s="6"/>
    </row>
    <row r="824" spans="4:4" ht="15">
      <c r="D824" s="6"/>
    </row>
    <row r="825" spans="4:4" ht="15">
      <c r="D825" s="6"/>
    </row>
    <row r="826" spans="4:4" ht="15">
      <c r="D826" s="6"/>
    </row>
    <row r="827" spans="4:4" ht="15">
      <c r="D827" s="6"/>
    </row>
    <row r="828" spans="4:4" ht="15">
      <c r="D828" s="6"/>
    </row>
    <row r="829" spans="4:4" ht="15">
      <c r="D829" s="6"/>
    </row>
    <row r="830" spans="4:4" ht="15">
      <c r="D830" s="6"/>
    </row>
    <row r="831" spans="4:4" ht="15">
      <c r="D831" s="6"/>
    </row>
    <row r="832" spans="4:4" ht="15">
      <c r="D832" s="6"/>
    </row>
    <row r="833" spans="4:4" ht="15">
      <c r="D833" s="6"/>
    </row>
    <row r="834" spans="4:4" ht="15">
      <c r="D834" s="6"/>
    </row>
    <row r="835" spans="4:4" ht="15">
      <c r="D835" s="6"/>
    </row>
    <row r="836" spans="4:4" ht="15">
      <c r="D836" s="6"/>
    </row>
    <row r="837" spans="4:4" ht="15">
      <c r="D837" s="6"/>
    </row>
    <row r="838" spans="4:4" ht="15">
      <c r="D838" s="6"/>
    </row>
    <row r="839" spans="4:4" ht="15">
      <c r="D839" s="6"/>
    </row>
    <row r="840" spans="4:4" ht="15">
      <c r="D840" s="6"/>
    </row>
    <row r="841" spans="4:4" ht="15">
      <c r="D841" s="6"/>
    </row>
    <row r="842" spans="4:4" ht="15">
      <c r="D842" s="6"/>
    </row>
    <row r="843" spans="4:4" ht="15">
      <c r="D843" s="6"/>
    </row>
    <row r="844" spans="4:4" ht="15">
      <c r="D844" s="6"/>
    </row>
    <row r="845" spans="4:4" ht="15">
      <c r="D845" s="6"/>
    </row>
    <row r="846" spans="4:4" ht="15">
      <c r="D846" s="6"/>
    </row>
    <row r="847" spans="4:4" ht="15">
      <c r="D847" s="6"/>
    </row>
    <row r="848" spans="4:4" ht="15">
      <c r="D848" s="6"/>
    </row>
    <row r="849" spans="4:4" ht="15">
      <c r="D849" s="6"/>
    </row>
    <row r="850" spans="4:4" ht="15">
      <c r="D850" s="6"/>
    </row>
    <row r="851" spans="4:4" ht="15">
      <c r="D851" s="6"/>
    </row>
    <row r="852" spans="4:4" ht="15">
      <c r="D852" s="6"/>
    </row>
    <row r="853" spans="4:4" ht="15">
      <c r="D853" s="6"/>
    </row>
    <row r="854" spans="4:4" ht="15">
      <c r="D854" s="6"/>
    </row>
    <row r="855" spans="4:4" ht="15">
      <c r="D855" s="6"/>
    </row>
    <row r="856" spans="4:4" ht="15">
      <c r="D856" s="6"/>
    </row>
    <row r="857" spans="4:4" ht="15">
      <c r="D857" s="6"/>
    </row>
    <row r="858" spans="4:4" ht="15">
      <c r="D858" s="6"/>
    </row>
    <row r="859" spans="4:4" ht="15">
      <c r="D859" s="6"/>
    </row>
    <row r="860" spans="4:4" ht="15">
      <c r="D860" s="6"/>
    </row>
    <row r="861" spans="4:4" ht="15">
      <c r="D861" s="6"/>
    </row>
    <row r="862" spans="4:4" ht="15">
      <c r="D862" s="6"/>
    </row>
    <row r="863" spans="4:4" ht="15">
      <c r="D863" s="6"/>
    </row>
    <row r="864" spans="4:4" ht="15">
      <c r="D864" s="6"/>
    </row>
    <row r="865" spans="4:4" ht="15">
      <c r="D865" s="6"/>
    </row>
    <row r="866" spans="4:4" ht="15">
      <c r="D866" s="6"/>
    </row>
    <row r="867" spans="4:4" ht="15">
      <c r="D867" s="6"/>
    </row>
    <row r="868" spans="4:4" ht="15">
      <c r="D868" s="6"/>
    </row>
    <row r="869" spans="4:4" ht="15">
      <c r="D869" s="6"/>
    </row>
    <row r="870" spans="4:4" ht="15">
      <c r="D870" s="6"/>
    </row>
    <row r="871" spans="4:4" ht="15">
      <c r="D871" s="6"/>
    </row>
    <row r="872" spans="4:4" ht="15">
      <c r="D872" s="6"/>
    </row>
    <row r="873" spans="4:4" ht="15">
      <c r="D873" s="6"/>
    </row>
    <row r="874" spans="4:4" ht="15">
      <c r="D874" s="6"/>
    </row>
    <row r="875" spans="4:4" ht="15">
      <c r="D875" s="6"/>
    </row>
    <row r="876" spans="4:4" ht="15">
      <c r="D876" s="6"/>
    </row>
    <row r="877" spans="4:4" ht="15">
      <c r="D877" s="6"/>
    </row>
    <row r="878" spans="4:4" ht="15">
      <c r="D878" s="6"/>
    </row>
    <row r="879" spans="4:4" ht="15">
      <c r="D879" s="6"/>
    </row>
    <row r="880" spans="4:4" ht="15">
      <c r="D880" s="6"/>
    </row>
    <row r="881" spans="4:4" ht="15">
      <c r="D881" s="6"/>
    </row>
    <row r="882" spans="4:4" ht="15">
      <c r="D882" s="6"/>
    </row>
    <row r="883" spans="4:4" ht="15">
      <c r="D883" s="6"/>
    </row>
    <row r="884" spans="4:4" ht="15">
      <c r="D884" s="6"/>
    </row>
    <row r="885" spans="4:4" ht="15">
      <c r="D885" s="6"/>
    </row>
    <row r="886" spans="4:4" ht="15">
      <c r="D886" s="6"/>
    </row>
    <row r="887" spans="4:4" ht="15">
      <c r="D887" s="6"/>
    </row>
    <row r="888" spans="4:4" ht="15">
      <c r="D888" s="6"/>
    </row>
    <row r="889" spans="4:4" ht="15">
      <c r="D889" s="6"/>
    </row>
    <row r="890" spans="4:4" ht="15">
      <c r="D890" s="6"/>
    </row>
    <row r="891" spans="4:4" ht="15">
      <c r="D891" s="6"/>
    </row>
    <row r="892" spans="4:4" ht="15">
      <c r="D892" s="6"/>
    </row>
    <row r="893" spans="4:4" ht="15">
      <c r="D893" s="6"/>
    </row>
    <row r="894" spans="4:4" ht="15">
      <c r="D894" s="6"/>
    </row>
    <row r="895" spans="4:4" ht="15">
      <c r="D895" s="6"/>
    </row>
    <row r="896" spans="4:4" ht="15">
      <c r="D896" s="6"/>
    </row>
    <row r="897" spans="4:4" ht="15">
      <c r="D897" s="6"/>
    </row>
    <row r="898" spans="4:4" ht="15">
      <c r="D898" s="6"/>
    </row>
    <row r="899" spans="4:4" ht="15">
      <c r="D899" s="6"/>
    </row>
    <row r="900" spans="4:4" ht="15">
      <c r="D900" s="6"/>
    </row>
    <row r="901" spans="4:4" ht="15">
      <c r="D901" s="6"/>
    </row>
    <row r="902" spans="4:4" ht="15">
      <c r="D902" s="6"/>
    </row>
    <row r="903" spans="4:4" ht="15">
      <c r="D903" s="6"/>
    </row>
    <row r="904" spans="4:4" ht="15">
      <c r="D904" s="6"/>
    </row>
    <row r="905" spans="4:4" ht="15">
      <c r="D905" s="6"/>
    </row>
    <row r="906" spans="4:4" ht="15">
      <c r="D906" s="6"/>
    </row>
    <row r="907" spans="4:4" ht="15">
      <c r="D907" s="6"/>
    </row>
    <row r="908" spans="4:4" ht="15">
      <c r="D908" s="6"/>
    </row>
    <row r="909" spans="4:4" ht="15">
      <c r="D909" s="6"/>
    </row>
    <row r="910" spans="4:4" ht="15">
      <c r="D910" s="6"/>
    </row>
    <row r="911" spans="4:4" ht="15">
      <c r="D911" s="6"/>
    </row>
    <row r="912" spans="4:4" ht="15">
      <c r="D912" s="6"/>
    </row>
    <row r="913" spans="4:4" ht="15">
      <c r="D913" s="6"/>
    </row>
    <row r="914" spans="4:4" ht="15">
      <c r="D914" s="6"/>
    </row>
    <row r="915" spans="4:4" ht="15">
      <c r="D915" s="6"/>
    </row>
    <row r="916" spans="4:4" ht="15">
      <c r="D916" s="6"/>
    </row>
    <row r="917" spans="4:4" ht="15">
      <c r="D917" s="6"/>
    </row>
    <row r="918" spans="4:4" ht="15">
      <c r="D918" s="6"/>
    </row>
    <row r="919" spans="4:4" ht="15">
      <c r="D919" s="6"/>
    </row>
    <row r="920" spans="4:4" ht="15">
      <c r="D920" s="6"/>
    </row>
    <row r="921" spans="4:4" ht="15">
      <c r="D921" s="6"/>
    </row>
    <row r="922" spans="4:4" ht="15">
      <c r="D922" s="6"/>
    </row>
    <row r="923" spans="4:4" ht="15">
      <c r="D923" s="6"/>
    </row>
    <row r="924" spans="4:4" ht="15">
      <c r="D924" s="6"/>
    </row>
    <row r="925" spans="4:4" ht="15">
      <c r="D925" s="6"/>
    </row>
    <row r="926" spans="4:4" ht="15">
      <c r="D926" s="6"/>
    </row>
    <row r="927" spans="4:4" ht="15">
      <c r="D927" s="6"/>
    </row>
    <row r="928" spans="4:4" ht="15">
      <c r="D928" s="6"/>
    </row>
    <row r="929" spans="4:4" ht="15">
      <c r="D929" s="6"/>
    </row>
    <row r="930" spans="4:4" ht="15">
      <c r="D930" s="6"/>
    </row>
    <row r="931" spans="4:4" ht="15">
      <c r="D931" s="6"/>
    </row>
    <row r="932" spans="4:4" ht="15">
      <c r="D932" s="6"/>
    </row>
    <row r="933" spans="4:4" ht="15">
      <c r="D933" s="6"/>
    </row>
    <row r="934" spans="4:4" ht="15">
      <c r="D934" s="6"/>
    </row>
    <row r="935" spans="4:4" ht="15">
      <c r="D935" s="6"/>
    </row>
    <row r="936" spans="4:4" ht="15">
      <c r="D936" s="6"/>
    </row>
    <row r="937" spans="4:4" ht="15">
      <c r="D937" s="6"/>
    </row>
    <row r="938" spans="4:4" ht="15">
      <c r="D938" s="6"/>
    </row>
    <row r="939" spans="4:4" ht="15">
      <c r="D939" s="6"/>
    </row>
    <row r="940" spans="4:4" ht="15">
      <c r="D940" s="6"/>
    </row>
    <row r="941" spans="4:4" ht="15">
      <c r="D941" s="6"/>
    </row>
    <row r="942" spans="4:4" ht="15">
      <c r="D942" s="6"/>
    </row>
    <row r="943" spans="4:4" ht="15">
      <c r="D943" s="6"/>
    </row>
    <row r="944" spans="4:4" ht="15">
      <c r="D944" s="6"/>
    </row>
    <row r="945" spans="4:4" ht="15">
      <c r="D945" s="6"/>
    </row>
    <row r="946" spans="4:4" ht="15">
      <c r="D946" s="6"/>
    </row>
    <row r="947" spans="4:4" ht="15">
      <c r="D947" s="6"/>
    </row>
    <row r="948" spans="4:4" ht="15">
      <c r="D948" s="6"/>
    </row>
    <row r="949" spans="4:4" ht="15">
      <c r="D949" s="6"/>
    </row>
    <row r="950" spans="4:4" ht="15">
      <c r="D950" s="6"/>
    </row>
    <row r="951" spans="4:4" ht="15">
      <c r="D951" s="6"/>
    </row>
    <row r="952" spans="4:4" ht="15">
      <c r="D952" s="6"/>
    </row>
    <row r="953" spans="4:4" ht="15">
      <c r="D953" s="6"/>
    </row>
    <row r="954" spans="4:4" ht="15">
      <c r="D954" s="6"/>
    </row>
    <row r="955" spans="4:4" ht="15">
      <c r="D955" s="6"/>
    </row>
    <row r="956" spans="4:4" ht="15">
      <c r="D956" s="6"/>
    </row>
    <row r="957" spans="4:4" ht="15">
      <c r="D957" s="6"/>
    </row>
    <row r="958" spans="4:4" ht="15">
      <c r="D958" s="6"/>
    </row>
    <row r="959" spans="4:4" ht="15">
      <c r="D959" s="6"/>
    </row>
    <row r="960" spans="4:4" ht="15">
      <c r="D960" s="6"/>
    </row>
    <row r="961" spans="4:4" ht="15">
      <c r="D961" s="6"/>
    </row>
    <row r="962" spans="4:4" ht="15">
      <c r="D962" s="6"/>
    </row>
    <row r="963" spans="4:4" ht="15">
      <c r="D963" s="6"/>
    </row>
    <row r="964" spans="4:4" ht="15">
      <c r="D964" s="6"/>
    </row>
    <row r="965" spans="4:4" ht="15">
      <c r="D965" s="6"/>
    </row>
    <row r="966" spans="4:4" ht="15">
      <c r="D966" s="6"/>
    </row>
    <row r="967" spans="4:4" ht="15">
      <c r="D967" s="6"/>
    </row>
    <row r="968" spans="4:4" ht="15">
      <c r="D968" s="6"/>
    </row>
    <row r="969" spans="4:4" ht="15">
      <c r="D969" s="6"/>
    </row>
    <row r="970" spans="4:4" ht="15">
      <c r="D970" s="6"/>
    </row>
    <row r="971" spans="4:4" ht="15">
      <c r="D971" s="6"/>
    </row>
    <row r="972" spans="4:4" ht="15">
      <c r="D972" s="6"/>
    </row>
    <row r="973" spans="4:4" ht="15">
      <c r="D973" s="6"/>
    </row>
    <row r="974" spans="4:4" ht="15">
      <c r="D974" s="6"/>
    </row>
    <row r="975" spans="4:4" ht="15">
      <c r="D975" s="6"/>
    </row>
    <row r="976" spans="4:4" ht="15">
      <c r="D976" s="6"/>
    </row>
    <row r="977" spans="4:4" ht="15">
      <c r="D977" s="6"/>
    </row>
    <row r="978" spans="4:4" ht="15">
      <c r="D978" s="6"/>
    </row>
    <row r="979" spans="4:4" ht="15">
      <c r="D979" s="6"/>
    </row>
    <row r="980" spans="4:4" ht="15">
      <c r="D980" s="6"/>
    </row>
    <row r="981" spans="4:4" ht="15">
      <c r="D981" s="6"/>
    </row>
    <row r="982" spans="4:4" ht="15">
      <c r="D982" s="6"/>
    </row>
    <row r="983" spans="4:4" ht="15">
      <c r="D983" s="6"/>
    </row>
    <row r="984" spans="4:4" ht="15">
      <c r="D984" s="6"/>
    </row>
    <row r="985" spans="4:4" ht="15">
      <c r="D985" s="6"/>
    </row>
    <row r="986" spans="4:4" ht="15">
      <c r="D986" s="6"/>
    </row>
    <row r="987" spans="4:4" ht="15">
      <c r="D987" s="6"/>
    </row>
    <row r="988" spans="4:4" ht="15">
      <c r="D988" s="6"/>
    </row>
    <row r="989" spans="4:4" ht="15">
      <c r="D989" s="6"/>
    </row>
    <row r="990" spans="4:4" ht="15">
      <c r="D990" s="6"/>
    </row>
    <row r="991" spans="4:4" ht="15">
      <c r="D991" s="6"/>
    </row>
    <row r="992" spans="4:4" ht="15">
      <c r="D992" s="6"/>
    </row>
    <row r="993" spans="4:4" ht="15">
      <c r="D993" s="6"/>
    </row>
    <row r="994" spans="4:4" ht="15">
      <c r="D994" s="6"/>
    </row>
    <row r="995" spans="4:4" ht="15">
      <c r="D995" s="6"/>
    </row>
    <row r="996" spans="4:4" ht="15">
      <c r="D996" s="6"/>
    </row>
    <row r="997" spans="4:4" ht="15">
      <c r="D997" s="6"/>
    </row>
    <row r="998" spans="4:4" ht="15">
      <c r="D998" s="6"/>
    </row>
    <row r="999" spans="4:4" ht="15">
      <c r="D999" s="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Certificate</vt:lpstr>
      <vt:lpstr>Annexure - I</vt:lpstr>
      <vt:lpstr>Annexure - I Contd</vt:lpstr>
      <vt:lpstr>Annexure - IA</vt:lpstr>
      <vt:lpstr>Annexure IB &amp; II</vt:lpstr>
      <vt:lpstr>Annexure - III</vt:lpstr>
      <vt:lpstr>System</vt:lpstr>
    </vt:vector>
  </TitlesOfParts>
  <Template/>
  <Manager/>
  <Company>ICAT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Praval Sharma</dc:creator>
  <cp:keywords/>
  <dc:description/>
  <cp:lastModifiedBy>deepika nehra</cp:lastModifiedBy>
  <cp:lastPrinted>2022-03-10T08:59:13Z</cp:lastPrinted>
  <dcterms:created xsi:type="dcterms:W3CDTF">2011-04-26T07:24:58Z</dcterms:created>
  <dcterms:modified xsi:type="dcterms:W3CDTF">2022-03-11T09:38:17Z</dcterms:modified>
  <cp:category/>
</cp:coreProperties>
</file>